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sters\"/>
    </mc:Choice>
  </mc:AlternateContent>
  <xr:revisionPtr revIDLastSave="0" documentId="13_ncr:1_{D44AC02B-836C-4E04-A2AA-7A3312C53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 summary" sheetId="1" r:id="rId1"/>
    <sheet name="Sce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K15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L52" i="1"/>
  <c r="K52" i="1"/>
  <c r="J52" i="1"/>
  <c r="I52" i="1"/>
  <c r="L51" i="1"/>
  <c r="L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L23" i="1"/>
  <c r="K23" i="1"/>
  <c r="J23" i="1"/>
  <c r="L22" i="1"/>
  <c r="K22" i="1"/>
  <c r="J22" i="1"/>
  <c r="L21" i="1"/>
  <c r="K21" i="1"/>
  <c r="L20" i="1"/>
  <c r="K20" i="1"/>
  <c r="L19" i="1"/>
  <c r="K19" i="1"/>
  <c r="L18" i="1"/>
  <c r="K18" i="1"/>
  <c r="L17" i="1"/>
  <c r="L16" i="1"/>
  <c r="L15" i="1"/>
  <c r="L14" i="1"/>
  <c r="L13" i="1"/>
  <c r="L12" i="1"/>
  <c r="L11" i="1"/>
  <c r="L10" i="1"/>
  <c r="L9" i="1"/>
  <c r="L8" i="1"/>
  <c r="K8" i="1"/>
  <c r="J8" i="1"/>
  <c r="I8" i="1"/>
  <c r="L7" i="1"/>
  <c r="K7" i="1"/>
  <c r="J7" i="1"/>
  <c r="I7" i="1"/>
</calcChain>
</file>

<file path=xl/sharedStrings.xml><?xml version="1.0" encoding="utf-8"?>
<sst xmlns="http://schemas.openxmlformats.org/spreadsheetml/2006/main" count="1453" uniqueCount="540">
  <si>
    <t>Full SAR batch register</t>
  </si>
  <si>
    <t>Group</t>
  </si>
  <si>
    <t>Batch</t>
  </si>
  <si>
    <t>Area</t>
  </si>
  <si>
    <t>Scenes</t>
  </si>
  <si>
    <t>Closest optical gap (h)</t>
  </si>
  <si>
    <t>Acquisition span (days)</t>
  </si>
  <si>
    <t>Transferred</t>
  </si>
  <si>
    <t>Digitised</t>
  </si>
  <si>
    <t>Transferred back</t>
  </si>
  <si>
    <t>Extracted</t>
  </si>
  <si>
    <t>Notes</t>
  </si>
  <si>
    <t>Global MERIA</t>
  </si>
  <si>
    <t>meria_honduras_2017_oct17</t>
  </si>
  <si>
    <t>Bay Islands of Honduras</t>
  </si>
  <si>
    <t>meria_palma_2018_oct12</t>
  </si>
  <si>
    <t>Palma de Mallorca</t>
  </si>
  <si>
    <t>meria_bay_islands_2018_oct24_25</t>
  </si>
  <si>
    <t>Bay Islands (16PDC and 16PCC)</t>
  </si>
  <si>
    <t>meria_ghana_2018_oct30_nov05</t>
  </si>
  <si>
    <t>Ghana</t>
  </si>
  <si>
    <t>meria_ghana_2018_oct25_31</t>
  </si>
  <si>
    <t>meria_ghana_2018_oct18_24</t>
  </si>
  <si>
    <t>meria_honduras_2017_oct05</t>
  </si>
  <si>
    <t>meria_honduras_2017_oct29</t>
  </si>
  <si>
    <t>MARIDA</t>
  </si>
  <si>
    <t>marida_16pcc_20180830_05</t>
  </si>
  <si>
    <t>16PCC</t>
  </si>
  <si>
    <t>marida_51pts_20160716_01</t>
  </si>
  <si>
    <t>51PTS</t>
  </si>
  <si>
    <t>marida_18qyf_20210123_20210125_08</t>
  </si>
  <si>
    <t>18QYF</t>
  </si>
  <si>
    <t>marida_30vwh_20180419_20180420_01</t>
  </si>
  <si>
    <t>30VWH</t>
  </si>
  <si>
    <t>marida_18qyf_20200319_01</t>
  </si>
  <si>
    <t>marida_18qyf_20200915_02</t>
  </si>
  <si>
    <t>marida_48pzc_20191124_01</t>
  </si>
  <si>
    <t>48PZC</t>
  </si>
  <si>
    <t>marida_16pcc_20170831_03</t>
  </si>
  <si>
    <t>marida_18qyg_20200305_20200307_01</t>
  </si>
  <si>
    <t>18QYG</t>
  </si>
  <si>
    <t>marida_18qyg_20200307_02</t>
  </si>
  <si>
    <t>marida_52sdd_20181006_01</t>
  </si>
  <si>
    <t>52SDD</t>
  </si>
  <si>
    <t>marida_16pec_20190111_03</t>
  </si>
  <si>
    <t>16PEC</t>
  </si>
  <si>
    <t>marida_16qed_20190128_01</t>
  </si>
  <si>
    <t>16QED</t>
  </si>
  <si>
    <t>marida_16pcc_20200924_08</t>
  </si>
  <si>
    <t>marida_50llr_20180302_20180305_01</t>
  </si>
  <si>
    <t>50LLR</t>
  </si>
  <si>
    <t>marida_16pdc_20180918_01</t>
  </si>
  <si>
    <t>16PDC</t>
  </si>
  <si>
    <t>marida_18qyf_20201213_05</t>
  </si>
  <si>
    <t>marida_18qyf_20201021_03</t>
  </si>
  <si>
    <t>marida_48myu_20171203_20171207_01</t>
  </si>
  <si>
    <t>48MYU</t>
  </si>
  <si>
    <t>marida_51pts_20190516_02</t>
  </si>
  <si>
    <t>marida_16pdc_20200926_03</t>
  </si>
  <si>
    <t>marida_18qyf_20210101_07</t>
  </si>
  <si>
    <t>marida_18qyf_20201220_06</t>
  </si>
  <si>
    <t>marida_16pcc_20190906_07</t>
  </si>
  <si>
    <t>marida_16pec_20180305_20180310_02</t>
  </si>
  <si>
    <t>marida_16pcc_20180219_04</t>
  </si>
  <si>
    <t>marida_16pec_20180214_01</t>
  </si>
  <si>
    <t>marida_18qwf_20200324_01</t>
  </si>
  <si>
    <t>18QWF</t>
  </si>
  <si>
    <t>marida_36jun_20190421_01</t>
  </si>
  <si>
    <t>36JUN</t>
  </si>
  <si>
    <t>marida_16pdc_20181031_02</t>
  </si>
  <si>
    <t>marida_16pcc_20170109_01</t>
  </si>
  <si>
    <t>marida_18qyf_20201126_04</t>
  </si>
  <si>
    <t>marida_16pcc_20181216_06</t>
  </si>
  <si>
    <t>marida_16pcc_20170224_02</t>
  </si>
  <si>
    <t>marida_48mxu_20190527_01</t>
  </si>
  <si>
    <t>48MXU</t>
  </si>
  <si>
    <t>Floating objects</t>
  </si>
  <si>
    <t>floating_kolkata_20201115_20201115_01</t>
  </si>
  <si>
    <t>kolkata_20201115</t>
  </si>
  <si>
    <t>floating_tungchungchina_20190922_20190922_01</t>
  </si>
  <si>
    <t>tungchungChina_20190922</t>
  </si>
  <si>
    <t>floating_16_086_20170322_20170327_01</t>
  </si>
  <si>
    <t>NASA PlanetScope near 16°N, 86°W</t>
  </si>
  <si>
    <t>floating_london_20180611_20180611_20180613_01</t>
  </si>
  <si>
    <t>london_20180611</t>
  </si>
  <si>
    <t>floating_venice_20180630_20180629_20180630_01</t>
  </si>
  <si>
    <t>venice_20180630</t>
  </si>
  <si>
    <t>floating_greece_plp_20240629_20240705_02</t>
  </si>
  <si>
    <t>Greece PLP</t>
  </si>
  <si>
    <t>floating_greece_plp_20210626_20210702_01</t>
  </si>
  <si>
    <t>floating_39_027_20180606_20180607_01</t>
  </si>
  <si>
    <t>NASA PlanetScope near 39°N, 27°E</t>
  </si>
  <si>
    <t>floating_17_088_20181122_20181124_02</t>
  </si>
  <si>
    <t>NASA PlanetScope near 17°N, 88°W</t>
  </si>
  <si>
    <t>floating_longxuyen_20181102_20181102_01</t>
  </si>
  <si>
    <t>longxuyen_20181102</t>
  </si>
  <si>
    <t>floating_16_088_20170825_02</t>
  </si>
  <si>
    <t>NASA PlanetScope near 16°N, 88°W</t>
  </si>
  <si>
    <t>floating_lagos_20190101_20181231_01</t>
  </si>
  <si>
    <t>lagos_20190101</t>
  </si>
  <si>
    <t>floating_16_088_20170928_03</t>
  </si>
  <si>
    <t>floating_17_088_20170226_01</t>
  </si>
  <si>
    <t>floating_16_087_20170226_01</t>
  </si>
  <si>
    <t>NASA PlanetScope near 16°N, 87°W</t>
  </si>
  <si>
    <t>floating_panama_20190425_20190426_01</t>
  </si>
  <si>
    <t>panama_20190425</t>
  </si>
  <si>
    <t>floating_33_035_20181214_01</t>
  </si>
  <si>
    <t>NASA PlanetScope near 33°N, 35°E</t>
  </si>
  <si>
    <t>floating_suez_20200403_20200404_01</t>
  </si>
  <si>
    <t>suez_20200403</t>
  </si>
  <si>
    <t>floating_venice_20180928_20180927_20180929_01</t>
  </si>
  <si>
    <t>venice_20180928</t>
  </si>
  <si>
    <t>floating_tunisia_20180715_20180716_01</t>
  </si>
  <si>
    <t>tunisia_20180715</t>
  </si>
  <si>
    <t>floating_lagos_20200505_20200506_01</t>
  </si>
  <si>
    <t>lagos_20200505</t>
  </si>
  <si>
    <t>floating_kentpointfarm_20180710_20180711_01</t>
  </si>
  <si>
    <t>kentpointfarm_20180710</t>
  </si>
  <si>
    <t>floating_tangshan_20180130_20180128_01</t>
  </si>
  <si>
    <t>tangshan_20180130</t>
  </si>
  <si>
    <t>floating_portalfredsouthafrica_2018_20180530_01</t>
  </si>
  <si>
    <t>portalfredSouthAfrica_20180601</t>
  </si>
  <si>
    <t>floating_16_086_20180226_02</t>
  </si>
  <si>
    <t>floating_sandiego_20180804_20180802_01</t>
  </si>
  <si>
    <t>sandiego_20180804</t>
  </si>
  <si>
    <t>floating_shengsi_20190615_20190617_01</t>
  </si>
  <si>
    <t>shengsi_20190615</t>
  </si>
  <si>
    <t>floating_biscay_20180419_20180417_01</t>
  </si>
  <si>
    <t>biscay_20180419</t>
  </si>
  <si>
    <t>floating_39_027_20190415_20190420_02</t>
  </si>
  <si>
    <t>floating_16_088_20161005_01</t>
  </si>
  <si>
    <t>floating_16_087_20171012_02</t>
  </si>
  <si>
    <t>floating_05_001_20181024_01</t>
  </si>
  <si>
    <t>Ghana Drift near 5°N, 1°W</t>
  </si>
  <si>
    <t>floating_16_088_20181019_05</t>
  </si>
  <si>
    <t>floating_16_088_20171010_04</t>
  </si>
  <si>
    <t>South Africa</t>
  </si>
  <si>
    <t>sa_durban_2019_apr21_27</t>
  </si>
  <si>
    <t>Durban</t>
  </si>
  <si>
    <t>sa_east_london_2024_jun03</t>
  </si>
  <si>
    <t>East London</t>
  </si>
  <si>
    <t>sa_gqeberha_2024_jun08</t>
  </si>
  <si>
    <t>Gqeberha</t>
  </si>
  <si>
    <t>sa_gqeberha_2026_may05_10</t>
  </si>
  <si>
    <t>sa_east_london_2024_jun10_15</t>
  </si>
  <si>
    <t>sa_durban_2022_apr27</t>
  </si>
  <si>
    <t>sa_durban_2022_apr17_20</t>
  </si>
  <si>
    <t>sa_durban_2022_apr05</t>
  </si>
  <si>
    <t>sa_gqeberha_2024_jun20</t>
  </si>
  <si>
    <t>Full SAR scene tracker</t>
  </si>
  <si>
    <t>Batches and scenes ordered by absolute optical-to-SAR time difference. Positive gap means SAR after optical. Blank status means unverified.</t>
  </si>
  <si>
    <t>Acquired UTC</t>
  </si>
  <si>
    <t>Optical gap (h)</t>
  </si>
  <si>
    <t>Absolute gap (h)</t>
  </si>
  <si>
    <t>Reference source</t>
  </si>
  <si>
    <t>Optical reference ID</t>
  </si>
  <si>
    <t>SAR scene ID</t>
  </si>
  <si>
    <t>Linked sources</t>
  </si>
  <si>
    <t>2017-10-17 11:37:09</t>
  </si>
  <si>
    <t>MERIA global</t>
  </si>
  <si>
    <t>33a32832-fc41-4fdd-8c91-a41844fc1709</t>
  </si>
  <si>
    <t>S1A_IW_SLC__1SDV_20171017T113709_20171017T113739_018852_01FD74_F01C</t>
  </si>
  <si>
    <t>MERIA global, NASA_PlanetScope</t>
  </si>
  <si>
    <t>2018-10-12 05:44:31</t>
  </si>
  <si>
    <t>cabcd011-9d82-4124-9f9c-120bdc406cf3</t>
  </si>
  <si>
    <t>S1B_IW_SLC__1SDV_20181012T054431_20181012T054458_013115_0183B4_07F8</t>
  </si>
  <si>
    <t>2018-10-12 17:37:56</t>
  </si>
  <si>
    <t>S1A_IW_SLC__1SDV_20181012T173756_20181012T173823_024106_02A2A6_DA1D</t>
  </si>
  <si>
    <t>2018-10-24 11:37:44</t>
  </si>
  <si>
    <t>NASA_PlanetScope</t>
  </si>
  <si>
    <t>nasa_planetscope_20181024_160201_0f3b</t>
  </si>
  <si>
    <t>S1A_IW_SLC__1SDV_20181024T113744_20181024T113812_024277_02A836_EC6E</t>
  </si>
  <si>
    <t>MARIDA, NASA_PlanetScope</t>
  </si>
  <si>
    <t>16PDC reference scene; separate from the 16PCC candidate points.</t>
  </si>
  <si>
    <t>2018-10-24 11:37:16</t>
  </si>
  <si>
    <t>S1A_IW_SLC__1SDV_20181024T113716_20181024T113746_024277_02A836_7D74</t>
  </si>
  <si>
    <t>2018-10-25 00:06:26</t>
  </si>
  <si>
    <t>nasa_planetscope_20181024_160202_0f3b</t>
  </si>
  <si>
    <t>S1A_IW_SLC__1SDV_20181025T000626_20181025T000653_024285_02A86D_2AFA</t>
  </si>
  <si>
    <t>16PCC: 85 added candidate points; verify valid SAR pixels.</t>
  </si>
  <si>
    <t>2018-10-30 18:17:58</t>
  </si>
  <si>
    <t>91ea9edc-67b4-4211-8532-35deec4a3148</t>
  </si>
  <si>
    <t>S1A_IW_SLC__1SDV_20181030T181758_20181030T181828_024369_02AB27_32F5</t>
  </si>
  <si>
    <t>Ghana_Drift, Jamila_Floating_Debris, MERIA global, NASA_PlanetScope</t>
  </si>
  <si>
    <t>2018-11-05 18:17:17</t>
  </si>
  <si>
    <t>S1B_IW_SLC__1SDV_20181105T181717_20181105T181744_013473_018EDC_5E15</t>
  </si>
  <si>
    <t>2018-10-25 18:09:53</t>
  </si>
  <si>
    <t>cd77705c-782d-5b99-935f-405bfd905cbf</t>
  </si>
  <si>
    <t>S1A_IW_SLC__1SDV_20181025T180953_20181025T181020_024296_02A8C4_97A2</t>
  </si>
  <si>
    <t>Ghana_Drift, MERIA global</t>
  </si>
  <si>
    <t>2018-10-31 18:09:08</t>
  </si>
  <si>
    <t>d9db6dd4-4db8-5723-96ba-57d182cda0b7_B</t>
  </si>
  <si>
    <t>S1B_IW_SLC__1SDV_20181031T180908_20181031T180935_013400_018CA3_F37E</t>
  </si>
  <si>
    <t>Ghana_Drift, Jamila_Floating_Debris, MERIA global</t>
  </si>
  <si>
    <t>2018-10-18 18:17:58</t>
  </si>
  <si>
    <t>57bbff03-21eb-54de-9d18-d8a65b256bd5</t>
  </si>
  <si>
    <t>S1A_IW_SLC__1SDV_20181018T181758_20181018T181828_024194_02A587_7BBC</t>
  </si>
  <si>
    <t>2018-10-24 18:17:17</t>
  </si>
  <si>
    <t>d918b4e9-16ac-5c30-830f-6945943e1d9e</t>
  </si>
  <si>
    <t>S1B_IW_SLC__1SDV_20181024T181717_20181024T181744_013298_01895D_793F</t>
  </si>
  <si>
    <t>2017-10-05 11:37:09</t>
  </si>
  <si>
    <t>9e17ce98-9eeb-40f6-989e-894dc2be72ea</t>
  </si>
  <si>
    <t>S1A_IW_SLC__1SDV_20171005T113709_20171005T113739_018677_01F81E_9D47</t>
  </si>
  <si>
    <t>2017-10-29 11:37:10</t>
  </si>
  <si>
    <t>S1A_IW_SLC__1SDV_20171029T113710_20171029T113739_019027_0202C9_66C0</t>
  </si>
  <si>
    <t>2018-08-30 11:45:58</t>
  </si>
  <si>
    <t>marida_16PCC_2018-08-30</t>
  </si>
  <si>
    <t>S1A_IW_SLC__1SDV_20180830T114558_20180830T114625_023475_028E42_5A19</t>
  </si>
  <si>
    <t>2018-08-30 11:45:33</t>
  </si>
  <si>
    <t>S1A_IW_SLC__1SDV_20180830T114533_20180830T114600_023475_028E42_1ED7</t>
  </si>
  <si>
    <t>2016-07-16 21:46:30</t>
  </si>
  <si>
    <t>marida_51PTS_2016-07-17</t>
  </si>
  <si>
    <t>S1A_IW_SLC__1SDV_20160716T214630_20160716T214657_012179_012E3A_DCAE</t>
  </si>
  <si>
    <t>2021-01-23 10:47:29</t>
  </si>
  <si>
    <t>marida_18QYF_2021-01-23</t>
  </si>
  <si>
    <t>S1A_IW_SLC__1SDV_20210123T104729_20210123T104755_036264_0440FD_9D34</t>
  </si>
  <si>
    <t>2021-01-25 23:01:26</t>
  </si>
  <si>
    <t>S1A_IW_SLC__1SDV_20210125T230126_20210125T230154_036301_04424B_8308</t>
  </si>
  <si>
    <t>2018-04-20 17:50:48</t>
  </si>
  <si>
    <t>marida_30VWH_2018-04-20</t>
  </si>
  <si>
    <t>S1A_IW_SLC__1SDV_20180420T175048_20180420T175115_021554_02524F_11F3</t>
  </si>
  <si>
    <t>2018-04-19 17:58:07</t>
  </si>
  <si>
    <t>S1B_IW_SLC__1SDV_20180419T175807_20180419T175834_010556_0133F9_F753</t>
  </si>
  <si>
    <t>2020-03-19 23:01:20</t>
  </si>
  <si>
    <t>marida_18QYF_2020-03-19</t>
  </si>
  <si>
    <t>S1A_IW_SLC__1SDV_20200319T230120_20200319T230148_031751_03A974_084C</t>
  </si>
  <si>
    <t>2020-09-15 23:01:29</t>
  </si>
  <si>
    <t>marida_18QYF_2020-09-15</t>
  </si>
  <si>
    <t>S1A_IW_SLC__1SDV_20200915T230129_20200915T230157_034376_03FF59_A9F7</t>
  </si>
  <si>
    <t>2019-11-24 10:56:34</t>
  </si>
  <si>
    <t>marida_48PZC_2019-11-24</t>
  </si>
  <si>
    <t>S1A_IW_SLC__1SDV_20191124T105634_20191124T105701_030052_036E82_3F33</t>
  </si>
  <si>
    <t>2017-08-31 00:06:18</t>
  </si>
  <si>
    <t>marida_16PCC_2017-08-30</t>
  </si>
  <si>
    <t>S1A_IW_SLC__1SDV_20170831T000618_20170831T000645_018160_01E82D_DFF8</t>
  </si>
  <si>
    <t>2020-03-07 23:01:20</t>
  </si>
  <si>
    <t>marida_18QYG_2020-03-07</t>
  </si>
  <si>
    <t>S1A_IW_SLC__1SDV_20200307T230120_20200307T230148_031576_03A353_2F7C</t>
  </si>
  <si>
    <t>2020-03-05 10:47:23</t>
  </si>
  <si>
    <t>S1A_IW_SLC__1SDV_20200305T104723_20200305T104749_031539_03A224_F776</t>
  </si>
  <si>
    <t>2020-03-05 10:46:57</t>
  </si>
  <si>
    <t>S1A_IW_SLC__1SDV_20200305T104657_20200305T104725_031539_03A224_FBCB</t>
  </si>
  <si>
    <t>2020-03-07 23:01:45</t>
  </si>
  <si>
    <t>S1A_IW_SLC__1SDV_20200307T230145_20200307T230212_031576_03A353_A3DE</t>
  </si>
  <si>
    <t>2018-10-06 21:23:52</t>
  </si>
  <si>
    <t>marida_52SDD_2018-10-07</t>
  </si>
  <si>
    <t>S1B_IW_SLC__1SDV_20181006T212352_20181006T212427_013037_018158_17E9</t>
  </si>
  <si>
    <t>2019-01-11 23:58:22</t>
  </si>
  <si>
    <t>marida_16PEC_2019-01-12</t>
  </si>
  <si>
    <t>S1A_IW_SLC__1SDV_20190111T235822_20190111T235849_025437_02D177_4D98</t>
  </si>
  <si>
    <t>2019-01-11 23:57:57</t>
  </si>
  <si>
    <t>S1A_IW_SLC__1SDV_20190111T235757_20190111T235824_025437_02D177_7CEB</t>
  </si>
  <si>
    <t>2019-01-28 11:37:13</t>
  </si>
  <si>
    <t>marida_16QED_2019-01-27</t>
  </si>
  <si>
    <t>S1A_IW_SLC__1SDV_20190128T113713_20190128T113743_025677_02DA37_E9F7</t>
  </si>
  <si>
    <t>2020-09-24 11:45:47</t>
  </si>
  <si>
    <t>marida_16PCC_2020-09-23</t>
  </si>
  <si>
    <t>S1A_IW_SLC__1SDV_20200924T114547_20200924T114614_034500_0403CA_C05B</t>
  </si>
  <si>
    <t>2020-09-24 11:46:11</t>
  </si>
  <si>
    <t>S1A_IW_SLC__1SDV_20200924T114611_20200924T114638_034500_0403CA_2C6A</t>
  </si>
  <si>
    <t>2018-03-02 21:52:17</t>
  </si>
  <si>
    <t>marida_50LLR_2018-03-04</t>
  </si>
  <si>
    <t>S1B_IW_SLC__1SDV_20180302T215217_20180302T215252_009858_011D4A_B9BD</t>
  </si>
  <si>
    <t>2018-03-05 10:41:10</t>
  </si>
  <si>
    <t>S1A_IW_SLC__1SDV_20180305T104110_20180305T104140_020878_023D06_07A9</t>
  </si>
  <si>
    <t>2018-09-18 11:37:16</t>
  </si>
  <si>
    <t>marida_16PDC_2018-09-19</t>
  </si>
  <si>
    <t>S1A_IW_SLC__1SDV_20180918T113716_20180918T113745_023752_02971C_2F2E</t>
  </si>
  <si>
    <t>2020-12-13 10:39:30</t>
  </si>
  <si>
    <t>marida_18QYF_2020-12-14</t>
  </si>
  <si>
    <t>S1A_IW_SLC__1SDV_20201213T103930_20201213T103957_035666_042C30_A1B7</t>
  </si>
  <si>
    <t>2020-12-13 10:39:05</t>
  </si>
  <si>
    <t>S1A_IW_SLC__1SDV_20201213T103905_20201213T103933_035666_042C30_CF3A</t>
  </si>
  <si>
    <t>2020-10-21 23:01:29</t>
  </si>
  <si>
    <t>marida_18QYF_2020-10-20</t>
  </si>
  <si>
    <t>S1A_IW_SLC__1SDV_20201021T230129_20201021T230157_034901_0411BE_0FC7</t>
  </si>
  <si>
    <t>2017-12-07 11:15:02</t>
  </si>
  <si>
    <t>marida_48MYU_2017-12-06</t>
  </si>
  <si>
    <t>S1A_IW_SLC__1SDV_20171207T111502_20171207T111530_019595_021487_BBD3</t>
  </si>
  <si>
    <t>2017-12-03 22:33:38</t>
  </si>
  <si>
    <t>S1A_IW_SLC__1SDV_20171203T223338_20171203T223406_019544_0212E6_3713</t>
  </si>
  <si>
    <t>2017-12-03 22:33:13</t>
  </si>
  <si>
    <t>S1A_IW_SLC__1SDV_20171203T223313_20171203T223341_019544_0212E6_4612</t>
  </si>
  <si>
    <t>2019-05-16 10:06:09</t>
  </si>
  <si>
    <t>marida_51PTS_2019-05-18</t>
  </si>
  <si>
    <t>S1B_IW_SLC__1SDV_20190516T100609_20190516T100636_016268_01E9DC_EE45</t>
  </si>
  <si>
    <t>2019-05-16 10:05:45</t>
  </si>
  <si>
    <t>S1B_IW_SLC__1SDV_20190516T100545_20190516T100611_016268_01E9DC_427C</t>
  </si>
  <si>
    <t>2020-09-26 23:58:37</t>
  </si>
  <si>
    <t>marida_16PDC_2020-09-28</t>
  </si>
  <si>
    <t>S1A_IW_SLC__1SDV_20200926T235837_20200926T235904_034537_04050D_97F3</t>
  </si>
  <si>
    <t>2020-09-26 23:58:12</t>
  </si>
  <si>
    <t>S1A_IW_SLC__1SDV_20200926T235812_20200926T235839_034537_04050D_3686</t>
  </si>
  <si>
    <t>2021-01-01 23:01:27</t>
  </si>
  <si>
    <t>marida_18QYF_2021-01-03</t>
  </si>
  <si>
    <t>S1A_IW_SLC__1SDV_20210101T230127_20210101T230155_035951_04360B_049E</t>
  </si>
  <si>
    <t>2020-12-20 23:01:28</t>
  </si>
  <si>
    <t>marida_18QYF_2020-12-22</t>
  </si>
  <si>
    <t>S1A_IW_SLC__1SDV_20201220T230128_20201220T230156_035776_042FF7_E623</t>
  </si>
  <si>
    <t>2019-09-06 11:45:40</t>
  </si>
  <si>
    <t>marida_16PCC_2019-09-04</t>
  </si>
  <si>
    <t>S1A_IW_SLC__1SDV_20190906T114540_20190906T114606_028900_0346B6_424B</t>
  </si>
  <si>
    <t>2018-03-10 11:37:06</t>
  </si>
  <si>
    <t>marida_16PEC_2018-03-08</t>
  </si>
  <si>
    <t>S1A_IW_SLC__1SDV_20180310T113706_20180310T113736_020952_023F65_5F7F</t>
  </si>
  <si>
    <t>2018-03-05 23:58:14</t>
  </si>
  <si>
    <t>S1A_IW_SLC__1SDV_20180305T235814_20180305T235841_020887_023D47_F0AD</t>
  </si>
  <si>
    <t>2018-03-05 23:57:49</t>
  </si>
  <si>
    <t>S1A_IW_SLC__1SDV_20180305T235749_20180305T235816_020887_023D47_BD35</t>
  </si>
  <si>
    <t>2018-02-19 11:45:49</t>
  </si>
  <si>
    <t>marida_16PCC_2018-02-21</t>
  </si>
  <si>
    <t>S1A_IW_SLC__1SDV_20180219T114549_20180219T114616_020675_0236A3_1819</t>
  </si>
  <si>
    <t>2018-02-19 11:45:24</t>
  </si>
  <si>
    <t>S1A_IW_SLC__1SDV_20180219T114524_20180219T114551_020675_0236A3_8FAB</t>
  </si>
  <si>
    <t>2018-02-14 11:37:34</t>
  </si>
  <si>
    <t>marida_16PEC_2018-02-16</t>
  </si>
  <si>
    <t>S1A_IW_SLC__1SDV_20180214T113734_20180214T113802_020602_02344F_9E31</t>
  </si>
  <si>
    <t>2018-02-14 11:37:06</t>
  </si>
  <si>
    <t>S1A_IW_SLC__1SDV_20180214T113706_20180214T113736_020602_02344F_F816</t>
  </si>
  <si>
    <t>2020-03-24 23:09:18</t>
  </si>
  <si>
    <t>marida_18QWF_2020-03-22</t>
  </si>
  <si>
    <t>S1A_IW_SLC__1SDV_20200324T230918_20200324T230945_031824_03AC13_825A</t>
  </si>
  <si>
    <t>2019-04-21 16:37:48</t>
  </si>
  <si>
    <t>marida_36JUN_2019-04-24</t>
  </si>
  <si>
    <t>S1A_IW_SLC__1SDV_20190421T163748_20190421T163815_026890_030629_DE32</t>
  </si>
  <si>
    <t>2018-10-31 23:58:24</t>
  </si>
  <si>
    <t>marida_16PDC_2018-11-03</t>
  </si>
  <si>
    <t>S1A_IW_SLC__1SDV_20181031T235824_20181031T235851_024387_02ABCE_8A7F</t>
  </si>
  <si>
    <t>2018-10-31 23:57:59</t>
  </si>
  <si>
    <t>S1A_IW_SLC__1SDV_20181031T235759_20181031T235826_024387_02ABCE_2AF4</t>
  </si>
  <si>
    <t>2017-01-09 23:57:49</t>
  </si>
  <si>
    <t>marida_16PCC_2017-01-12</t>
  </si>
  <si>
    <t>S1A_IW_SLC__1SDV_20170109T235749_20170109T235816_014762_01808F_7B6A</t>
  </si>
  <si>
    <t>2020-11-26 23:01:29</t>
  </si>
  <si>
    <t>marida_18QYF_2020-11-29</t>
  </si>
  <si>
    <t>S1A_IW_SLC__1SDV_20201126T230129_20201126T230157_035426_0423E6_EF0A</t>
  </si>
  <si>
    <t>2018-12-16 11:45:33</t>
  </si>
  <si>
    <t>marida_16PCC_2018-12-13</t>
  </si>
  <si>
    <t>S1A_IW_SLC__1SDV_20181216T114533_20181216T114600_025050_02C392_0550</t>
  </si>
  <si>
    <t>2018-12-16 11:45:58</t>
  </si>
  <si>
    <t>S1A_IW_SLC__1SDV_20181216T114558_20181216T114625_025050_02C392_12CF</t>
  </si>
  <si>
    <t>2017-02-24 11:45:18</t>
  </si>
  <si>
    <t>marida_16PCC_2017-02-21</t>
  </si>
  <si>
    <t>S1A_IW_SLC__1SDV_20170224T114518_20170224T114545_015425_019521_64D3</t>
  </si>
  <si>
    <t>2017-02-24 11:45:43</t>
  </si>
  <si>
    <t>S1A_IW_SLC__1SDV_20170224T114543_20170224T114610_015425_019521_2ED5</t>
  </si>
  <si>
    <t>2019-05-27 22:33:19</t>
  </si>
  <si>
    <t>marida_48MXU_2019-05-25</t>
  </si>
  <si>
    <t>S1A_IW_SLC__1SDV_20190527T223319_20190527T223347_027419_0317D5_BA50</t>
  </si>
  <si>
    <t>2019-05-27 22:33:45</t>
  </si>
  <si>
    <t>S1A_IW_SLC__1SDV_20190527T223345_20190527T223413_027419_0317D5_8E7E</t>
  </si>
  <si>
    <t>2020-11-15 12:12:11</t>
  </si>
  <si>
    <t>Jamila_Floating_Debris</t>
  </si>
  <si>
    <t>jamila_floating_debris_kolkata_20201115</t>
  </si>
  <si>
    <t>S1A_IW_SLC__1SDV_20201115T121211_20201115T121239_035259_041E24_CF73</t>
  </si>
  <si>
    <t>2019-09-22 10:33:25</t>
  </si>
  <si>
    <t>jamila_floating_debris_tungchungChina_20190922</t>
  </si>
  <si>
    <t>S1A_IW_SLC__1SDV_20190922T103325_20190922T103355_029133_034EA1_B6F2</t>
  </si>
  <si>
    <t>2017-03-22 11:29:01</t>
  </si>
  <si>
    <t>nasa_planetscope_20170322_153132_0e0f</t>
  </si>
  <si>
    <t>S1A_IW_SLC__1SDV_20170322T112901_20170322T112931_015804_01A07E_E746</t>
  </si>
  <si>
    <t>2017-03-27 11:37:00</t>
  </si>
  <si>
    <t>nasa_planetscope_20170326_153239_0e26</t>
  </si>
  <si>
    <t>S1A_IW_SLC__1SDV_20170327T113700_20170327T113730_015877_01A2B2_6471</t>
  </si>
  <si>
    <t>2018-06-11 06:06:49</t>
  </si>
  <si>
    <t>jamila_floating_debris_london_20180611</t>
  </si>
  <si>
    <t>S1A_IW_SLC__1SDV_20180611T060649_20180611T060716_022305_026A07_EF2B</t>
  </si>
  <si>
    <t>2018-06-11 06:06:24</t>
  </si>
  <si>
    <t>S1A_IW_SLC__1SDV_20180611T060624_20180611T060651_022305_026A07_2143</t>
  </si>
  <si>
    <t>2018-06-13 17:48:48</t>
  </si>
  <si>
    <t>S1B_IW_SLC__1SDV_20180613T174848_20180613T174916_011358_014DB0_D584</t>
  </si>
  <si>
    <t>2018-06-30 17:06:26</t>
  </si>
  <si>
    <t>jamila_floating_debris_venice_20180630</t>
  </si>
  <si>
    <t>S1A_IW_SLC__1SDV_20180630T170626_20180630T170653_022589_02727A_F0C9</t>
  </si>
  <si>
    <t>2018-06-29 05:18:52</t>
  </si>
  <si>
    <t>S1A_IW_SLC__1SDV_20180629T051852_20180629T051919_022567_0271CF_EE7D</t>
  </si>
  <si>
    <t>2024-07-05 16:07:46</t>
  </si>
  <si>
    <t>Greece_Sentinel2</t>
  </si>
  <si>
    <t>greece_sentinel2_S2A_MSIL2A_20240705T085601_N0510_R007_T35SMD_20240705T131959</t>
  </si>
  <si>
    <t>S1A_IW_SLC__1SDV_20240705T160746_20240705T160813_054628_06A662_95B9</t>
  </si>
  <si>
    <t>2024-06-29 04:15:20</t>
  </si>
  <si>
    <t>greece_sentinel2_S2B_MSIL2A_20240630T085559_N0510_R007_T35SMD_20240630T105345</t>
  </si>
  <si>
    <t>S1A_IW_SLC__1SDV_20240629T041520_20240629T041547_054533_06A303_E4CF</t>
  </si>
  <si>
    <t>2021-06-26 16:15:00</t>
  </si>
  <si>
    <t>greece_sentinel2_S2B_MSIL1C_20210626T085559_N0500_R007_T35SMD_20230318T094507</t>
  </si>
  <si>
    <t>S1B_IW_SLC__1SDV_20210626T161500_20210626T161527_027530_03494A_A037</t>
  </si>
  <si>
    <t>2021-07-02 16:15:44</t>
  </si>
  <si>
    <t>greece_sentinel2_S2A_MSIL2A_20210701T085601_N0500_R007_T35SMD_20230222T113007</t>
  </si>
  <si>
    <t>S1A_IW_SLC__1SDV_20210702T161544_20210702T161611_038601_048E08_CDF5</t>
  </si>
  <si>
    <t>2018-06-07 16:07:15</t>
  </si>
  <si>
    <t>nasa_planetscope_20180607_082852_1012</t>
  </si>
  <si>
    <t>S1A_IW_SLC__1SDV_20180607T160715_20180607T160742_022253_02686F_1B45</t>
  </si>
  <si>
    <t>2018-06-06 16:14:40</t>
  </si>
  <si>
    <t>S1B_IW_SLC__1SDV_20180606T161440_20180606T161507_011255_014A7F_B0DC</t>
  </si>
  <si>
    <t>2018-11-24 23:58:23</t>
  </si>
  <si>
    <t>nasa_planetscope_20181124_155713_1049</t>
  </si>
  <si>
    <t>S1A_IW_SLC__1SDV_20181124T235823_20181124T235850_024737_02B8A0_9853</t>
  </si>
  <si>
    <t>2018-11-22 11:45:34</t>
  </si>
  <si>
    <t>S1A_IW_SLC__1SDV_20181122T114534_20181122T114601_024700_02B757_C38C</t>
  </si>
  <si>
    <t>2018-11-02 22:45:36</t>
  </si>
  <si>
    <t>jamila_floating_debris_longxuyen_20181102</t>
  </si>
  <si>
    <t>S1A_IW_SLC__1SDV_20181102T224536_20181102T224603_024415_02ACCD_518F</t>
  </si>
  <si>
    <t>2017-08-25 23:58:16</t>
  </si>
  <si>
    <t>nasa_planetscope_20170826_154046_100c</t>
  </si>
  <si>
    <t>S1A_IW_SLC__1SDV_20170825T235816_20170825T235843_018087_01E5F9_252D</t>
  </si>
  <si>
    <t>2017-08-25 23:57:51</t>
  </si>
  <si>
    <t>S1A_IW_SLC__1SDV_20170825T235751_20170825T235818_018087_01E5F9_D3CA</t>
  </si>
  <si>
    <t>2018-12-31 18:01:42</t>
  </si>
  <si>
    <t>jamila_floating_debris_lagos_20190101</t>
  </si>
  <si>
    <t>S1A_IW_SLC__1SDV_20181231T180142_20181231T180209_025273_02CB84_4FA7</t>
  </si>
  <si>
    <t>2017-09-28 11:45:27</t>
  </si>
  <si>
    <t>nasa_planetscope_20170927_154610_0e14</t>
  </si>
  <si>
    <t>S1A_IW_SLC__1SDV_20170928T114527_20170928T114554_018575_01F501_6D3A</t>
  </si>
  <si>
    <t>2017-02-26 23:58:08</t>
  </si>
  <si>
    <t>nasa_planetscope_20170227_203307_0c37</t>
  </si>
  <si>
    <t>S1A_IW_SLC__1SDV_20170226T235808_20170226T235835_015462_019635_27A8</t>
  </si>
  <si>
    <t>2017-02-26 23:57:43</t>
  </si>
  <si>
    <t>nasa_planetscope_20170227_203600_1</t>
  </si>
  <si>
    <t>S1A_IW_SLC__1SDV_20170226T235743_20170226T235810_015462_019635_9564</t>
  </si>
  <si>
    <t>2019-04-26 11:06:21</t>
  </si>
  <si>
    <t>jamila_floating_debris_panama_20190425</t>
  </si>
  <si>
    <t>S1A_IW_SLC__1SDV_20190426T110621_20190426T110651_026960_0308C0_B39F</t>
  </si>
  <si>
    <t>2018-12-14 03:43:48</t>
  </si>
  <si>
    <t>nasa_planetscope_20181215_075902_103e</t>
  </si>
  <si>
    <t>S1A_IW_SLC__1SDV_20181214T034348_20181214T034415_025016_02C244_FD6C</t>
  </si>
  <si>
    <t>2020-04-04 15:56:18</t>
  </si>
  <si>
    <t>jamila_floating_debris_suez_20200403</t>
  </si>
  <si>
    <t>S1A_IW_SLC__1SDV_20200404T155618_20200404T155645_031980_03B190_71E6</t>
  </si>
  <si>
    <t>2020-04-04 15:56:43</t>
  </si>
  <si>
    <t>S1A_IW_SLC__1SDV_20200404T155643_20200404T155710_031980_03B190_20B2</t>
  </si>
  <si>
    <t>2018-09-27 05:18:20</t>
  </si>
  <si>
    <t>jamila_floating_debris_venice_20180928</t>
  </si>
  <si>
    <t>S1B_IW_SLC__1SDV_20180927T051820_20180927T051847_012896_017D0E_5078</t>
  </si>
  <si>
    <t>2018-09-29 16:58:13</t>
  </si>
  <si>
    <t>S1A_IW_SLC__1SDV_20180929T165813_20180929T165840_023916_029C64_EDCF</t>
  </si>
  <si>
    <t>2018-09-29 16:58:38</t>
  </si>
  <si>
    <t>S1A_IW_SLC__1SDV_20180929T165838_20180929T165905_023916_029C64_E479</t>
  </si>
  <si>
    <t>2018-07-16 17:19:12</t>
  </si>
  <si>
    <t>jamila_floating_debris_tunisia_20180715</t>
  </si>
  <si>
    <t>S1B_IW_SLC__1SDV_20180716T171912_20180716T171939_011839_015CA0_7ADE</t>
  </si>
  <si>
    <t>2020-05-06 18:01:49</t>
  </si>
  <si>
    <t>jamila_floating_debris_lagos_20200505</t>
  </si>
  <si>
    <t>S1A_IW_SLC__1SDV_20200506T180149_20200506T180216_032448_03C1F5_2D1D</t>
  </si>
  <si>
    <t>2018-07-11 22:58:36</t>
  </si>
  <si>
    <t>jamila_floating_debris_kentpointfarm_20180710</t>
  </si>
  <si>
    <t>S1A_IW_SLC__1SDV_20180711T225836_20180711T225903_022753_027755_DA41</t>
  </si>
  <si>
    <t>2018-01-28 22:03:52</t>
  </si>
  <si>
    <t>jamila_floating_debris_tangshan_20180130</t>
  </si>
  <si>
    <t>S1B_IW_SLC__1SDV_20180128T220352_20180128T220419_009377_010D78_7518</t>
  </si>
  <si>
    <t>2018-05-30 16:53:04</t>
  </si>
  <si>
    <t>jamila_floating_debris_portalfredSouthAfrica_20180601</t>
  </si>
  <si>
    <t>S1A_IW_SLC__1SDV_20180530T165304_20180530T165332_022136_0264C5_57B3</t>
  </si>
  <si>
    <t>2018-05-30 16:52:36</t>
  </si>
  <si>
    <t>S1A_IW_SLC__1SDV_20180530T165236_20180530T165306_022136_0264C5_5103</t>
  </si>
  <si>
    <t>2018-02-26 11:37:06</t>
  </si>
  <si>
    <t>nasa_planetscope_20180224_162902_0f2b</t>
  </si>
  <si>
    <t>S1A_IW_SLC__1SDV_20180226T113706_20180226T113736_020777_0239E5_1314</t>
  </si>
  <si>
    <t>2018-08-02 13:52:44</t>
  </si>
  <si>
    <t>jamila_floating_debris_sandiego_20180804</t>
  </si>
  <si>
    <t>S1A_IW_SLC__1SDV_20180802T135244_20180802T135311_023068_028123_A301</t>
  </si>
  <si>
    <t>2019-06-17 09:54:19</t>
  </si>
  <si>
    <t>jamila_floating_debris_shengsi_20190615</t>
  </si>
  <si>
    <t>S1A_IW_SLC__1SDV_20190617T095419_20190617T095447_027718_0320F1_8F93</t>
  </si>
  <si>
    <t>2019-06-17 09:54:45</t>
  </si>
  <si>
    <t>S1A_IW_SLC__1SDV_20190617T095445_20190617T095512_027718_0320F1_ACD6</t>
  </si>
  <si>
    <t>2018-04-17 06:17:03</t>
  </si>
  <si>
    <t>jamila_floating_debris_biscay_20180419</t>
  </si>
  <si>
    <t>S1A_IW_SLC__1SDV_20180417T061703_20180417T061730_021503_0250BC_1820</t>
  </si>
  <si>
    <t>2018-04-17 06:16:38</t>
  </si>
  <si>
    <t>S1A_IW_SLC__1SDV_20180417T061638_20180417T061705_021503_0250BC_6CFA</t>
  </si>
  <si>
    <t>2019-04-20 16:15:28</t>
  </si>
  <si>
    <t>nasa_planetscope_20190418_074358_0f3c</t>
  </si>
  <si>
    <t>S1A_IW_SLC__1SDV_20190420T161528_20190420T161555_026876_0305AB_1543</t>
  </si>
  <si>
    <t>2019-04-15 16:07:18</t>
  </si>
  <si>
    <t>S1A_IW_SLC__1SDV_20190415T160718_20190415T160745_026803_03031C_CFBC</t>
  </si>
  <si>
    <t>2016-10-05 23:57:52</t>
  </si>
  <si>
    <t>nasa_planetscope_20161008_153104_0e3a</t>
  </si>
  <si>
    <t>S1A_IW_SLC__1SDV_20161005T235752_20161005T235819_013362_015506_6040</t>
  </si>
  <si>
    <t>2017-10-12 23:58:17</t>
  </si>
  <si>
    <t>nasa_planetscope_20171015_153720_100c</t>
  </si>
  <si>
    <t>S1A_IW_SLC__1SDV_20171012T235817_20171012T235844_018787_01FB66_2AB4</t>
  </si>
  <si>
    <t>2017-10-12 23:57:53</t>
  </si>
  <si>
    <t>S1A_IW_SLC__1SDV_20171012T235753_20171012T235820_018787_01FB66_F901</t>
  </si>
  <si>
    <t>2018-10-24 18:16:53</t>
  </si>
  <si>
    <t>Ghana_Drift</t>
  </si>
  <si>
    <t>ghana_drift_d918b4e9-16ac-5c30-830f-6945943e1d9e</t>
  </si>
  <si>
    <t>S1B_IW_SLC__1SDV_20181024T181653_20181024T181720_013298_01895D_122A</t>
  </si>
  <si>
    <t>2018-10-19 23:58:24</t>
  </si>
  <si>
    <t>nasa_planetscope_20181022_155353_100a</t>
  </si>
  <si>
    <t>S1A_IW_SLC__1SDV_20181019T235824_20181019T235851_024212_02A61B_5E38</t>
  </si>
  <si>
    <t>2018-10-19 23:57:59</t>
  </si>
  <si>
    <t>S1A_IW_SLC__1SDV_20181019T235759_20181019T235826_024212_02A61B_13F2</t>
  </si>
  <si>
    <t>2017-10-10 11:45:28</t>
  </si>
  <si>
    <t>nasa_planetscope_20171007_161314_1</t>
  </si>
  <si>
    <t>S1A_IW_SLC__1SDV_20171010T114528_20171010T114555_018750_01FA56_DC8A</t>
  </si>
  <si>
    <t>2019-04-25 03:10:55</t>
  </si>
  <si>
    <t>MERIA SA</t>
  </si>
  <si>
    <t>MERIA_SA_002</t>
  </si>
  <si>
    <t>S1B_IW_SLC__1SDV_20190425T031055_20190425T031122_015957_01DFC7_4905</t>
  </si>
  <si>
    <t>MARIDA, MERIA SA</t>
  </si>
  <si>
    <t>2019-04-27 16:36:47</t>
  </si>
  <si>
    <t>S1B_IW_SLC__1SDV_20190427T163647_20190427T163717_015994_01E106_0A21</t>
  </si>
  <si>
    <t>2019-04-21 16:37:24</t>
  </si>
  <si>
    <t>MERIA_SA_001</t>
  </si>
  <si>
    <t>S1A_IW_SLC__1SDV_20190421T163724_20190421T163751_026890_030629_56F9</t>
  </si>
  <si>
    <t>2024-06-03 16:53:37</t>
  </si>
  <si>
    <t>MERIA_SA_007</t>
  </si>
  <si>
    <t>S1A_IW_SLC__1SDV_20240603T165337_20240603T165405_054161_06962B_B3D0</t>
  </si>
  <si>
    <t>2024-06-08 17:01:43</t>
  </si>
  <si>
    <t>MERIA_SA_008</t>
  </si>
  <si>
    <t>S1A_IW_SLC__1SDV_20240608T170143_20240608T170211_054234_0698B7_78BE</t>
  </si>
  <si>
    <t>2026-05-10 17:09:27</t>
  </si>
  <si>
    <t>MERIA_SA_009</t>
  </si>
  <si>
    <t>S1A_IW_SLC__1SDV_20260510T170927_20260510T170955_064457_081E34_5419</t>
  </si>
  <si>
    <t>2026-05-05 17:01:21</t>
  </si>
  <si>
    <t>S1A_IW_SLC__1SDV_20260505T170121_20260505T170149_064384_081B8F_D1CF</t>
  </si>
  <si>
    <t>2024-06-15 16:53:36</t>
  </si>
  <si>
    <t>MERIA_SA_005</t>
  </si>
  <si>
    <t>S1A_IW_SLC__1SDV_20240615T165336_20240615T165404_054336_069C38_DBE9</t>
  </si>
  <si>
    <t>2024-06-10 16:45:32</t>
  </si>
  <si>
    <t>S1A_IW_SLC__1SDV_20240610T164532_20240610T164600_054263_0699BA_EE9B</t>
  </si>
  <si>
    <t>2022-04-27 03:11:52</t>
  </si>
  <si>
    <t>MERIA_SA_004</t>
  </si>
  <si>
    <t>S1A_IW_SLC__1SDV_20220427T031152_20220427T031220_042953_0520BC_7F9D</t>
  </si>
  <si>
    <t>2022-04-17 16:37:41</t>
  </si>
  <si>
    <t>MERIA_SA_003</t>
  </si>
  <si>
    <t>S1A_IW_SLC__1SDV_20220417T163741_20220417T163808_042815_051C3F_771A</t>
  </si>
  <si>
    <t>2022-04-20 03:20:18</t>
  </si>
  <si>
    <t>S1A_IW_SLC__1SDV_20220420T032018_20220420T032045_042851_051D64_C340</t>
  </si>
  <si>
    <t>2022-04-05 16:37:41</t>
  </si>
  <si>
    <t>S1A_IW_SLC__1SDV_20220405T163741_20220405T163808_042640_05165E_2627</t>
  </si>
  <si>
    <t>2024-06-20 17:01:42</t>
  </si>
  <si>
    <t>S1A_IW_SLC__1SDV_20240620T170142_20240620T170210_054409_069EC5_00FD</t>
  </si>
  <si>
    <t xml:space="preserve">To do once the full scene processing is done for the palma area and then for Ghana as well. </t>
  </si>
  <si>
    <t>Y</t>
  </si>
  <si>
    <t>y</t>
  </si>
  <si>
    <t>p</t>
  </si>
  <si>
    <t>P</t>
  </si>
  <si>
    <t>Ubuntu</t>
  </si>
  <si>
    <t>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</si>
</sst>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4"/>
      <color rgb="FF17365D"/>
      <name val="Arial"/>
    </font>
    <font>
      <i/>
      <sz val="10"/>
      <color rgb="FF546579"/>
      <name val="Arial"/>
    </font>
    <font>
      <b/>
      <sz val="10"/>
      <color rgb="FFFFFFFF"/>
      <name val="Arial"/>
    </font>
    <font>
      <sz val="10"/>
      <color rgb="FF243247"/>
      <name val="Arial"/>
    </font>
    <font>
      <sz val="10"/>
      <color rgb="FF24324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D"/>
      </patternFill>
    </fill>
    <fill>
      <patternFill patternType="solid">
        <fgColor rgb="FFEAF1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9D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color rgb="FF245C84"/>
      </font>
      <fill>
        <patternFill patternType="solid">
          <bgColor rgb="FFDAE8F5"/>
        </patternFill>
      </fill>
    </dxf>
    <dxf>
      <font>
        <color rgb="FFA7352F"/>
      </font>
      <fill>
        <patternFill patternType="solid">
          <bgColor rgb="FFFBE0DD"/>
        </patternFill>
      </fill>
    </dxf>
    <dxf>
      <font>
        <color rgb="FF22683B"/>
      </font>
      <fill>
        <patternFill patternType="solid">
          <bgColor rgb="FFDDF2D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2:M94"/>
  <sheetViews>
    <sheetView showGridLines="0" tabSelected="1" zoomScale="70" zoomScaleNormal="70" workbookViewId="0">
      <pane ySplit="6" topLeftCell="A82" activePane="bottomLeft" state="frozen"/>
      <selection pane="bottomLeft" activeCell="G107" sqref="G107"/>
    </sheetView>
  </sheetViews>
  <sheetFormatPr defaultRowHeight="13.8"/>
  <cols>
    <col min="1" max="1" width="19" customWidth="1"/>
    <col min="2" max="2" width="43" customWidth="1"/>
    <col min="3" max="3" width="38" customWidth="1"/>
    <col min="4" max="4" width="10" customWidth="1"/>
    <col min="5" max="5" width="19" customWidth="1"/>
    <col min="6" max="8" width="22" customWidth="1"/>
    <col min="9" max="12" width="18" customWidth="1"/>
    <col min="13" max="13" width="52" customWidth="1"/>
  </cols>
  <sheetData>
    <row r="2" spans="1:13" ht="27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spans="1:13" ht="31.95" customHeight="1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538</v>
      </c>
      <c r="H6" s="4" t="s">
        <v>539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</row>
    <row r="7" spans="1:13" ht="22.05" customHeight="1">
      <c r="A7" s="5" t="s">
        <v>12</v>
      </c>
      <c r="B7" s="5" t="s">
        <v>13</v>
      </c>
      <c r="C7" s="5" t="s">
        <v>14</v>
      </c>
      <c r="D7" s="8">
        <v>1</v>
      </c>
      <c r="E7" s="9">
        <v>3.98</v>
      </c>
      <c r="F7" s="9">
        <v>0</v>
      </c>
      <c r="G7" s="10"/>
      <c r="H7" s="10"/>
      <c r="I7" s="10">
        <f>COUNTIFS(Scenes!$B$7:$B$142,$B7,Scenes!$L$7:$L$142,"Done")</f>
        <v>0</v>
      </c>
      <c r="J7" s="10">
        <f>COUNTIFS(Scenes!$B$7:$B$142,$B7,Scenes!$M$7:$M$142,"Done")</f>
        <v>0</v>
      </c>
      <c r="K7" s="10">
        <f>COUNTIFS(Scenes!$B$7:$B$142,$B7,Scenes!$N$7:$N$142,"Done")</f>
        <v>0</v>
      </c>
      <c r="L7" s="10">
        <f>COUNTIFS(Scenes!$B$7:$B$142,$B7,Scenes!$O$7:$O$142,"Done")</f>
        <v>0</v>
      </c>
      <c r="M7" s="5" t="s">
        <v>533</v>
      </c>
    </row>
    <row r="8" spans="1:13" ht="22.05" customHeight="1">
      <c r="A8" s="5" t="s">
        <v>12</v>
      </c>
      <c r="B8" s="5" t="s">
        <v>15</v>
      </c>
      <c r="C8" s="5" t="s">
        <v>16</v>
      </c>
      <c r="D8" s="8">
        <v>2</v>
      </c>
      <c r="E8" s="9">
        <v>4.3499999999999996</v>
      </c>
      <c r="F8" s="9">
        <v>0.49542824074074077</v>
      </c>
      <c r="G8" s="10"/>
      <c r="H8" s="10"/>
      <c r="I8" s="10">
        <f>COUNTIFS(Scenes!$B$7:$B$142,$B8,Scenes!$L$7:$L$142,"Done")</f>
        <v>0</v>
      </c>
      <c r="J8" s="10">
        <f>COUNTIFS(Scenes!$B$7:$B$142,$B8,Scenes!$M$7:$M$142,"Done")</f>
        <v>0</v>
      </c>
      <c r="K8" s="10">
        <f>COUNTIFS(Scenes!$B$7:$B$142,$B8,Scenes!$N$7:$N$142,"Done")</f>
        <v>0</v>
      </c>
      <c r="L8" s="10">
        <f>COUNTIFS(Scenes!$B$7:$B$142,$B8,Scenes!$O$7:$O$142,"Done")</f>
        <v>0</v>
      </c>
      <c r="M8" s="5"/>
    </row>
    <row r="9" spans="1:13" ht="22.05" customHeight="1">
      <c r="A9" s="5" t="s">
        <v>12</v>
      </c>
      <c r="B9" s="5" t="s">
        <v>17</v>
      </c>
      <c r="C9" s="5" t="s">
        <v>18</v>
      </c>
      <c r="D9" s="8">
        <v>3</v>
      </c>
      <c r="E9" s="9">
        <v>4.4050000000000002</v>
      </c>
      <c r="F9" s="9">
        <v>0.52025462962962965</v>
      </c>
      <c r="G9" s="10"/>
      <c r="H9" s="10"/>
      <c r="I9" s="10">
        <v>0</v>
      </c>
      <c r="J9" s="10">
        <f>COUNTIFS(Scenes!$B$7:$B$142,$B9,Scenes!$M$7:$M$142,"Done")</f>
        <v>0</v>
      </c>
      <c r="K9" s="10">
        <f>COUNTIFS(Scenes!$B$7:$B$142,$B9,Scenes!$N$7:$N$142,"Done")</f>
        <v>0</v>
      </c>
      <c r="L9" s="10">
        <f>COUNTIFS(Scenes!$B$7:$B$142,$B9,Scenes!$O$7:$O$142,"Done")</f>
        <v>0</v>
      </c>
      <c r="M9" s="5"/>
    </row>
    <row r="10" spans="1:13" ht="22.05" customHeight="1">
      <c r="A10" s="5" t="s">
        <v>12</v>
      </c>
      <c r="B10" s="5" t="s">
        <v>19</v>
      </c>
      <c r="C10" s="5" t="s">
        <v>20</v>
      </c>
      <c r="D10" s="8">
        <v>2</v>
      </c>
      <c r="E10" s="9">
        <v>15.69</v>
      </c>
      <c r="F10" s="9">
        <v>5.9995254629629633</v>
      </c>
      <c r="G10" s="10"/>
      <c r="H10" s="10"/>
      <c r="I10" s="10">
        <f>COUNTIFS(Scenes!$B$7:$B$142,$B10,Scenes!$L$7:$L$142,"Done")</f>
        <v>0</v>
      </c>
      <c r="J10" s="10">
        <f>COUNTIFS(Scenes!$B$7:$B$142,$B10,Scenes!$M$7:$M$142,"Done")</f>
        <v>0</v>
      </c>
      <c r="K10" s="10">
        <f>COUNTIFS(Scenes!$B$7:$B$142,$B10,Scenes!$N$7:$N$142,"Done")</f>
        <v>0</v>
      </c>
      <c r="L10" s="10">
        <f>COUNTIFS(Scenes!$B$7:$B$142,$B10,Scenes!$O$7:$O$142,"Done")</f>
        <v>0</v>
      </c>
      <c r="M10" s="5"/>
    </row>
    <row r="11" spans="1:13" ht="22.05" customHeight="1">
      <c r="A11" s="5" t="s">
        <v>12</v>
      </c>
      <c r="B11" s="5" t="s">
        <v>21</v>
      </c>
      <c r="C11" s="5" t="s">
        <v>20</v>
      </c>
      <c r="D11" s="8">
        <v>2</v>
      </c>
      <c r="E11" s="9">
        <v>15.84</v>
      </c>
      <c r="F11" s="9">
        <v>5.9994791666666663</v>
      </c>
      <c r="G11" s="10"/>
      <c r="H11" s="10"/>
      <c r="I11" s="10">
        <f>COUNTIFS(Scenes!$B$7:$B$142,$B11,Scenes!$L$7:$L$142,"Done")</f>
        <v>0</v>
      </c>
      <c r="J11" s="10">
        <f>COUNTIFS(Scenes!$B$7:$B$142,$B11,Scenes!$M$7:$M$142,"Done")</f>
        <v>0</v>
      </c>
      <c r="K11" s="10">
        <f>COUNTIFS(Scenes!$B$7:$B$142,$B11,Scenes!$N$7:$N$142,"Done")</f>
        <v>0</v>
      </c>
      <c r="L11" s="10">
        <f>COUNTIFS(Scenes!$B$7:$B$142,$B11,Scenes!$O$7:$O$142,"Done")</f>
        <v>0</v>
      </c>
      <c r="M11" s="5"/>
    </row>
    <row r="12" spans="1:13" ht="22.05" customHeight="1">
      <c r="A12" s="5" t="s">
        <v>12</v>
      </c>
      <c r="B12" s="5" t="s">
        <v>22</v>
      </c>
      <c r="C12" s="5" t="s">
        <v>20</v>
      </c>
      <c r="D12" s="8">
        <v>2</v>
      </c>
      <c r="E12" s="9">
        <v>39.700000000000003</v>
      </c>
      <c r="F12" s="9">
        <v>5.9995254629629633</v>
      </c>
      <c r="G12" s="10"/>
      <c r="H12" s="10"/>
      <c r="I12" s="10">
        <f>COUNTIFS(Scenes!$B$7:$B$142,$B12,Scenes!$L$7:$L$142,"Done")</f>
        <v>0</v>
      </c>
      <c r="J12" s="10">
        <f>COUNTIFS(Scenes!$B$7:$B$142,$B12,Scenes!$M$7:$M$142,"Done")</f>
        <v>0</v>
      </c>
      <c r="K12" s="10">
        <f>COUNTIFS(Scenes!$B$7:$B$142,$B12,Scenes!$N$7:$N$142,"Done")</f>
        <v>0</v>
      </c>
      <c r="L12" s="10">
        <f>COUNTIFS(Scenes!$B$7:$B$142,$B12,Scenes!$O$7:$O$142,"Done")</f>
        <v>0</v>
      </c>
      <c r="M12" s="5"/>
    </row>
    <row r="13" spans="1:13" ht="22.05" customHeight="1">
      <c r="A13" s="5" t="s">
        <v>12</v>
      </c>
      <c r="B13" s="5" t="s">
        <v>23</v>
      </c>
      <c r="C13" s="5" t="s">
        <v>14</v>
      </c>
      <c r="D13" s="8">
        <v>1</v>
      </c>
      <c r="E13" s="9">
        <v>170.6</v>
      </c>
      <c r="F13" s="9">
        <v>0</v>
      </c>
      <c r="G13" s="10"/>
      <c r="H13" s="10"/>
      <c r="I13" s="10">
        <f>COUNTIFS(Scenes!$B$7:$B$142,$B13,Scenes!$L$7:$L$142,"Done")</f>
        <v>0</v>
      </c>
      <c r="J13" s="10">
        <f>COUNTIFS(Scenes!$B$7:$B$142,$B13,Scenes!$M$7:$M$142,"Done")</f>
        <v>0</v>
      </c>
      <c r="K13" s="10">
        <f>COUNTIFS(Scenes!$B$7:$B$142,$B13,Scenes!$N$7:$N$142,"Done")</f>
        <v>0</v>
      </c>
      <c r="L13" s="10">
        <f>COUNTIFS(Scenes!$B$7:$B$142,$B13,Scenes!$O$7:$O$142,"Done")</f>
        <v>0</v>
      </c>
      <c r="M13" s="5"/>
    </row>
    <row r="14" spans="1:13" ht="22.05" customHeight="1">
      <c r="A14" s="5" t="s">
        <v>12</v>
      </c>
      <c r="B14" s="5" t="s">
        <v>24</v>
      </c>
      <c r="C14" s="5" t="s">
        <v>14</v>
      </c>
      <c r="D14" s="8">
        <v>1</v>
      </c>
      <c r="E14" s="9">
        <v>284.02</v>
      </c>
      <c r="F14" s="9">
        <v>0</v>
      </c>
      <c r="G14" s="10"/>
      <c r="H14" s="10"/>
      <c r="I14" s="10">
        <f>COUNTIFS(Scenes!$B$7:$B$142,$B14,Scenes!$L$7:$L$142,"Done")</f>
        <v>0</v>
      </c>
      <c r="J14" s="10">
        <f>COUNTIFS(Scenes!$B$7:$B$142,$B14,Scenes!$M$7:$M$142,"Done")</f>
        <v>0</v>
      </c>
      <c r="K14" s="10">
        <f>COUNTIFS(Scenes!$B$7:$B$142,$B14,Scenes!$N$7:$N$142,"Done")</f>
        <v>0</v>
      </c>
      <c r="L14" s="10">
        <f>COUNTIFS(Scenes!$B$7:$B$142,$B14,Scenes!$O$7:$O$142,"Done")</f>
        <v>0</v>
      </c>
      <c r="M14" s="5"/>
    </row>
    <row r="15" spans="1:13" ht="22.05" customHeight="1">
      <c r="A15" s="5" t="s">
        <v>25</v>
      </c>
      <c r="B15" s="5" t="s">
        <v>26</v>
      </c>
      <c r="C15" s="5" t="s">
        <v>27</v>
      </c>
      <c r="D15" s="8">
        <v>2</v>
      </c>
      <c r="E15" s="9">
        <v>4.3719999999999999</v>
      </c>
      <c r="F15" s="9">
        <v>2.8935185185185184E-4</v>
      </c>
      <c r="G15" s="10" t="s">
        <v>534</v>
      </c>
      <c r="H15" s="10" t="s">
        <v>534</v>
      </c>
      <c r="I15" s="10" t="s">
        <v>534</v>
      </c>
      <c r="J15" s="10" t="s">
        <v>534</v>
      </c>
      <c r="K15" s="10">
        <f>COUNTIFS(Scenes!$B$7:$B$142,$B15,Scenes!$N$7:$N$142,"Done")</f>
        <v>0</v>
      </c>
      <c r="L15" s="10">
        <f>COUNTIFS(Scenes!$B$7:$B$142,$B15,Scenes!$O$7:$O$142,"Done")</f>
        <v>0</v>
      </c>
      <c r="M15" s="5"/>
    </row>
    <row r="16" spans="1:13" ht="22.05" customHeight="1">
      <c r="A16" s="5" t="s">
        <v>25</v>
      </c>
      <c r="B16" s="5" t="s">
        <v>28</v>
      </c>
      <c r="C16" s="5" t="s">
        <v>29</v>
      </c>
      <c r="D16" s="8">
        <v>1</v>
      </c>
      <c r="E16" s="9">
        <v>4.4950000000000001</v>
      </c>
      <c r="F16" s="9">
        <v>0</v>
      </c>
      <c r="G16" s="10" t="s">
        <v>534</v>
      </c>
      <c r="H16" s="10" t="s">
        <v>534</v>
      </c>
      <c r="I16" s="10" t="s">
        <v>534</v>
      </c>
      <c r="J16" s="10" t="s">
        <v>534</v>
      </c>
      <c r="K16" s="10" t="s">
        <v>537</v>
      </c>
      <c r="L16" s="10">
        <f>COUNTIFS(Scenes!$B$7:$B$142,$B16,Scenes!$O$7:$O$142,"Done")</f>
        <v>0</v>
      </c>
      <c r="M16" s="5"/>
    </row>
    <row r="17" spans="1:13" ht="22.05" customHeight="1">
      <c r="A17" s="5" t="s">
        <v>25</v>
      </c>
      <c r="B17" s="5" t="s">
        <v>30</v>
      </c>
      <c r="C17" s="5" t="s">
        <v>31</v>
      </c>
      <c r="D17" s="8">
        <v>2</v>
      </c>
      <c r="E17" s="9">
        <v>4.6529999999999996</v>
      </c>
      <c r="F17" s="9">
        <v>2.5096875000000001</v>
      </c>
      <c r="G17" s="10" t="s">
        <v>534</v>
      </c>
      <c r="H17" s="10" t="s">
        <v>534</v>
      </c>
      <c r="I17" s="10" t="s">
        <v>534</v>
      </c>
      <c r="J17" s="10" t="s">
        <v>534</v>
      </c>
      <c r="K17" s="10" t="s">
        <v>537</v>
      </c>
      <c r="L17" s="10">
        <f>COUNTIFS(Scenes!$B$7:$B$142,$B17,Scenes!$O$7:$O$142,"Done")</f>
        <v>0</v>
      </c>
      <c r="M17" s="5"/>
    </row>
    <row r="18" spans="1:13" ht="22.05" customHeight="1">
      <c r="A18" s="5" t="s">
        <v>25</v>
      </c>
      <c r="B18" s="5" t="s">
        <v>32</v>
      </c>
      <c r="C18" s="5" t="s">
        <v>33</v>
      </c>
      <c r="D18" s="8">
        <v>2</v>
      </c>
      <c r="E18" s="9">
        <v>6.4909999999999997</v>
      </c>
      <c r="F18" s="9">
        <v>0.9949189814814815</v>
      </c>
      <c r="G18" s="10" t="s">
        <v>534</v>
      </c>
      <c r="H18" s="10" t="s">
        <v>534</v>
      </c>
      <c r="I18" s="10" t="s">
        <v>535</v>
      </c>
      <c r="J18" s="10" t="s">
        <v>534</v>
      </c>
      <c r="K18" s="10">
        <f>COUNTIFS(Scenes!$B$7:$B$142,$B18,Scenes!$N$7:$N$142,"Done")</f>
        <v>0</v>
      </c>
      <c r="L18" s="10">
        <f>COUNTIFS(Scenes!$B$7:$B$142,$B18,Scenes!$O$7:$O$142,"Done")</f>
        <v>0</v>
      </c>
      <c r="M18" s="5"/>
    </row>
    <row r="19" spans="1:13" ht="22.05" customHeight="1">
      <c r="A19" s="5" t="s">
        <v>25</v>
      </c>
      <c r="B19" s="5" t="s">
        <v>34</v>
      </c>
      <c r="C19" s="5" t="s">
        <v>31</v>
      </c>
      <c r="D19" s="8">
        <v>1</v>
      </c>
      <c r="E19" s="9">
        <v>7.577</v>
      </c>
      <c r="F19" s="9">
        <v>0</v>
      </c>
      <c r="G19" s="10" t="s">
        <v>534</v>
      </c>
      <c r="H19" s="10" t="s">
        <v>534</v>
      </c>
      <c r="I19" s="10" t="s">
        <v>534</v>
      </c>
      <c r="J19" s="10">
        <v>0</v>
      </c>
      <c r="K19" s="10">
        <f>COUNTIFS(Scenes!$B$7:$B$142,$B19,Scenes!$N$7:$N$142,"Done")</f>
        <v>0</v>
      </c>
      <c r="L19" s="10">
        <f>COUNTIFS(Scenes!$B$7:$B$142,$B19,Scenes!$O$7:$O$142,"Done")</f>
        <v>0</v>
      </c>
      <c r="M19" s="5"/>
    </row>
    <row r="20" spans="1:13" ht="22.05" customHeight="1">
      <c r="A20" s="5" t="s">
        <v>25</v>
      </c>
      <c r="B20" s="5" t="s">
        <v>35</v>
      </c>
      <c r="C20" s="5" t="s">
        <v>31</v>
      </c>
      <c r="D20" s="8">
        <v>1</v>
      </c>
      <c r="E20" s="9">
        <v>7.58</v>
      </c>
      <c r="F20" s="9">
        <v>0</v>
      </c>
      <c r="G20" s="10" t="s">
        <v>534</v>
      </c>
      <c r="H20" s="10" t="s">
        <v>534</v>
      </c>
      <c r="I20" s="10" t="s">
        <v>534</v>
      </c>
      <c r="J20" s="10" t="s">
        <v>534</v>
      </c>
      <c r="K20" s="10">
        <f>COUNTIFS(Scenes!$B$7:$B$142,$B20,Scenes!$N$7:$N$142,"Done")</f>
        <v>0</v>
      </c>
      <c r="L20" s="10">
        <f>COUNTIFS(Scenes!$B$7:$B$142,$B20,Scenes!$O$7:$O$142,"Done")</f>
        <v>0</v>
      </c>
      <c r="M20" s="5"/>
    </row>
    <row r="21" spans="1:13" ht="22.05" customHeight="1">
      <c r="A21" s="5" t="s">
        <v>25</v>
      </c>
      <c r="B21" s="5" t="s">
        <v>36</v>
      </c>
      <c r="C21" s="5" t="s">
        <v>37</v>
      </c>
      <c r="D21" s="8">
        <v>1</v>
      </c>
      <c r="E21" s="9">
        <v>7.7649999999999997</v>
      </c>
      <c r="F21" s="9">
        <v>0</v>
      </c>
      <c r="G21" s="10" t="s">
        <v>534</v>
      </c>
      <c r="H21" s="10" t="s">
        <v>534</v>
      </c>
      <c r="I21" s="10" t="s">
        <v>534</v>
      </c>
      <c r="J21" s="10" t="s">
        <v>534</v>
      </c>
      <c r="K21" s="10">
        <f>COUNTIFS(Scenes!$B$7:$B$142,$B21,Scenes!$N$7:$N$142,"Done")</f>
        <v>0</v>
      </c>
      <c r="L21" s="10">
        <f>COUNTIFS(Scenes!$B$7:$B$142,$B21,Scenes!$O$7:$O$142,"Done")</f>
        <v>0</v>
      </c>
      <c r="M21" s="5"/>
    </row>
    <row r="22" spans="1:13" ht="22.05" customHeight="1">
      <c r="A22" s="5" t="s">
        <v>25</v>
      </c>
      <c r="B22" s="5" t="s">
        <v>38</v>
      </c>
      <c r="C22" s="5" t="s">
        <v>27</v>
      </c>
      <c r="D22" s="8">
        <v>1</v>
      </c>
      <c r="E22" s="9">
        <v>7.9550000000000001</v>
      </c>
      <c r="F22" s="9">
        <v>0</v>
      </c>
      <c r="G22" s="10" t="s">
        <v>534</v>
      </c>
      <c r="H22" s="10" t="s">
        <v>534</v>
      </c>
      <c r="I22" s="10" t="s">
        <v>535</v>
      </c>
      <c r="J22" s="10">
        <f>COUNTIFS(Scenes!$B$7:$B$142,$B22,Scenes!$M$7:$M$142,"Done")</f>
        <v>0</v>
      </c>
      <c r="K22" s="10">
        <f>COUNTIFS(Scenes!$B$7:$B$142,$B22,Scenes!$N$7:$N$142,"Done")</f>
        <v>0</v>
      </c>
      <c r="L22" s="10">
        <f>COUNTIFS(Scenes!$B$7:$B$142,$B22,Scenes!$O$7:$O$142,"Done")</f>
        <v>0</v>
      </c>
      <c r="M22" s="5"/>
    </row>
    <row r="23" spans="1:13" ht="22.05" customHeight="1">
      <c r="A23" s="5" t="s">
        <v>25</v>
      </c>
      <c r="B23" s="5" t="s">
        <v>39</v>
      </c>
      <c r="C23" s="5" t="s">
        <v>40</v>
      </c>
      <c r="D23" s="8">
        <v>3</v>
      </c>
      <c r="E23" s="9">
        <v>11.022</v>
      </c>
      <c r="F23" s="9">
        <v>2.509988425925926</v>
      </c>
      <c r="G23" s="10" t="s">
        <v>534</v>
      </c>
      <c r="H23" s="10" t="s">
        <v>534</v>
      </c>
      <c r="I23" s="10" t="s">
        <v>534</v>
      </c>
      <c r="J23" s="10">
        <f>COUNTIFS(Scenes!$B$7:$B$142,$B23,Scenes!$M$7:$M$142,"Done")</f>
        <v>0</v>
      </c>
      <c r="K23" s="10">
        <f>COUNTIFS(Scenes!$B$7:$B$142,$B23,Scenes!$N$7:$N$142,"Done")</f>
        <v>0</v>
      </c>
      <c r="L23" s="10">
        <f>COUNTIFS(Scenes!$B$7:$B$142,$B23,Scenes!$O$7:$O$142,"Done")</f>
        <v>0</v>
      </c>
      <c r="M23" s="5"/>
    </row>
    <row r="24" spans="1:13" ht="22.05" customHeight="1">
      <c r="A24" s="5" t="s">
        <v>25</v>
      </c>
      <c r="B24" s="5" t="s">
        <v>41</v>
      </c>
      <c r="C24" s="5" t="s">
        <v>40</v>
      </c>
      <c r="D24" s="8">
        <v>1</v>
      </c>
      <c r="E24" s="9">
        <v>11.029</v>
      </c>
      <c r="F24" s="9">
        <v>0</v>
      </c>
      <c r="G24" s="10" t="s">
        <v>534</v>
      </c>
      <c r="H24" s="10" t="s">
        <v>534</v>
      </c>
      <c r="I24" s="10">
        <v>0</v>
      </c>
      <c r="J24" s="10">
        <f>COUNTIFS(Scenes!$B$7:$B$142,$B24,Scenes!$M$7:$M$142,"Done")</f>
        <v>0</v>
      </c>
      <c r="K24" s="10">
        <f>COUNTIFS(Scenes!$B$7:$B$142,$B24,Scenes!$N$7:$N$142,"Done")</f>
        <v>0</v>
      </c>
      <c r="L24" s="10">
        <f>COUNTIFS(Scenes!$B$7:$B$142,$B24,Scenes!$O$7:$O$142,"Done")</f>
        <v>0</v>
      </c>
      <c r="M24" s="5"/>
    </row>
    <row r="25" spans="1:13" ht="22.05" customHeight="1">
      <c r="A25" s="5" t="s">
        <v>25</v>
      </c>
      <c r="B25" s="5" t="s">
        <v>42</v>
      </c>
      <c r="C25" s="5" t="s">
        <v>43</v>
      </c>
      <c r="D25" s="8">
        <v>1</v>
      </c>
      <c r="E25" s="9">
        <v>14.602</v>
      </c>
      <c r="F25" s="9">
        <v>0</v>
      </c>
      <c r="G25" s="10" t="s">
        <v>534</v>
      </c>
      <c r="H25" s="10" t="s">
        <v>534</v>
      </c>
      <c r="I25" s="10">
        <f>COUNTIFS(Scenes!$B$7:$B$142,$B25,Scenes!$L$7:$L$142,"Done")</f>
        <v>0</v>
      </c>
      <c r="J25" s="10">
        <f>COUNTIFS(Scenes!$B$7:$B$142,$B25,Scenes!$M$7:$M$142,"Done")</f>
        <v>0</v>
      </c>
      <c r="K25" s="10">
        <f>COUNTIFS(Scenes!$B$7:$B$142,$B25,Scenes!$N$7:$N$142,"Done")</f>
        <v>0</v>
      </c>
      <c r="L25" s="10">
        <f>COUNTIFS(Scenes!$B$7:$B$142,$B25,Scenes!$O$7:$O$142,"Done")</f>
        <v>0</v>
      </c>
      <c r="M25" s="5"/>
    </row>
    <row r="26" spans="1:13" ht="22.05" customHeight="1">
      <c r="A26" s="5" t="s">
        <v>25</v>
      </c>
      <c r="B26" s="5" t="s">
        <v>44</v>
      </c>
      <c r="C26" s="5" t="s">
        <v>45</v>
      </c>
      <c r="D26" s="8">
        <v>2</v>
      </c>
      <c r="E26" s="9">
        <v>16.302</v>
      </c>
      <c r="F26" s="9">
        <v>2.8935185185185184E-4</v>
      </c>
      <c r="G26" s="10" t="s">
        <v>534</v>
      </c>
      <c r="H26" s="10" t="s">
        <v>535</v>
      </c>
      <c r="I26" s="10">
        <f>COUNTIFS(Scenes!$B$7:$B$142,$B26,Scenes!$L$7:$L$142,"Done")</f>
        <v>0</v>
      </c>
      <c r="J26" s="10">
        <f>COUNTIFS(Scenes!$B$7:$B$142,$B26,Scenes!$M$7:$M$142,"Done")</f>
        <v>0</v>
      </c>
      <c r="K26" s="10">
        <f>COUNTIFS(Scenes!$B$7:$B$142,$B26,Scenes!$N$7:$N$142,"Done")</f>
        <v>0</v>
      </c>
      <c r="L26" s="10">
        <f>COUNTIFS(Scenes!$B$7:$B$142,$B26,Scenes!$O$7:$O$142,"Done")</f>
        <v>0</v>
      </c>
      <c r="M26" s="5"/>
    </row>
    <row r="27" spans="1:13" ht="22.05" customHeight="1">
      <c r="A27" s="5" t="s">
        <v>25</v>
      </c>
      <c r="B27" s="5" t="s">
        <v>46</v>
      </c>
      <c r="C27" s="5" t="s">
        <v>47</v>
      </c>
      <c r="D27" s="8">
        <v>1</v>
      </c>
      <c r="E27" s="9">
        <v>19.359000000000002</v>
      </c>
      <c r="F27" s="9">
        <v>0</v>
      </c>
      <c r="G27" s="10" t="s">
        <v>534</v>
      </c>
      <c r="H27" s="10" t="s">
        <v>535</v>
      </c>
      <c r="I27" s="10">
        <f>COUNTIFS(Scenes!$B$7:$B$142,$B27,Scenes!$L$7:$L$142,"Done")</f>
        <v>0</v>
      </c>
      <c r="J27" s="10">
        <f>COUNTIFS(Scenes!$B$7:$B$142,$B27,Scenes!$M$7:$M$142,"Done")</f>
        <v>0</v>
      </c>
      <c r="K27" s="10">
        <f>COUNTIFS(Scenes!$B$7:$B$142,$B27,Scenes!$N$7:$N$142,"Done")</f>
        <v>0</v>
      </c>
      <c r="L27" s="10">
        <f>COUNTIFS(Scenes!$B$7:$B$142,$B27,Scenes!$O$7:$O$142,"Done")</f>
        <v>0</v>
      </c>
      <c r="M27" s="5"/>
    </row>
    <row r="28" spans="1:13" ht="22.05" customHeight="1">
      <c r="A28" s="5" t="s">
        <v>25</v>
      </c>
      <c r="B28" s="5" t="s">
        <v>48</v>
      </c>
      <c r="C28" s="5" t="s">
        <v>27</v>
      </c>
      <c r="D28" s="8">
        <v>2</v>
      </c>
      <c r="E28" s="9">
        <v>19.593</v>
      </c>
      <c r="F28" s="9">
        <v>2.7777777777777778E-4</v>
      </c>
      <c r="G28" s="10" t="s">
        <v>534</v>
      </c>
      <c r="H28" s="10"/>
      <c r="I28" s="10">
        <f>COUNTIFS(Scenes!$B$7:$B$142,$B28,Scenes!$L$7:$L$142,"Done")</f>
        <v>0</v>
      </c>
      <c r="J28" s="10">
        <f>COUNTIFS(Scenes!$B$7:$B$142,$B28,Scenes!$M$7:$M$142,"Done")</f>
        <v>0</v>
      </c>
      <c r="K28" s="10">
        <f>COUNTIFS(Scenes!$B$7:$B$142,$B28,Scenes!$N$7:$N$142,"Done")</f>
        <v>0</v>
      </c>
      <c r="L28" s="10">
        <f>COUNTIFS(Scenes!$B$7:$B$142,$B28,Scenes!$O$7:$O$142,"Done")</f>
        <v>0</v>
      </c>
      <c r="M28" s="5"/>
    </row>
    <row r="29" spans="1:13" ht="22.05" customHeight="1">
      <c r="A29" s="5" t="s">
        <v>25</v>
      </c>
      <c r="B29" s="5" t="s">
        <v>49</v>
      </c>
      <c r="C29" s="5" t="s">
        <v>50</v>
      </c>
      <c r="D29" s="8">
        <v>2</v>
      </c>
      <c r="E29" s="9">
        <v>28.395</v>
      </c>
      <c r="F29" s="9">
        <v>2.5339467592592593</v>
      </c>
      <c r="G29" s="10"/>
      <c r="H29" s="10"/>
      <c r="I29" s="10">
        <f>COUNTIFS(Scenes!$B$7:$B$142,$B29,Scenes!$L$7:$L$142,"Done")</f>
        <v>0</v>
      </c>
      <c r="J29" s="10">
        <f>COUNTIFS(Scenes!$B$7:$B$142,$B29,Scenes!$M$7:$M$142,"Done")</f>
        <v>0</v>
      </c>
      <c r="K29" s="10">
        <f>COUNTIFS(Scenes!$B$7:$B$142,$B29,Scenes!$N$7:$N$142,"Done")</f>
        <v>0</v>
      </c>
      <c r="L29" s="10">
        <f>COUNTIFS(Scenes!$B$7:$B$142,$B29,Scenes!$O$7:$O$142,"Done")</f>
        <v>0</v>
      </c>
      <c r="M29" s="5"/>
    </row>
    <row r="30" spans="1:13" ht="22.05" customHeight="1">
      <c r="A30" s="5" t="s">
        <v>25</v>
      </c>
      <c r="B30" s="5" t="s">
        <v>51</v>
      </c>
      <c r="C30" s="5" t="s">
        <v>52</v>
      </c>
      <c r="D30" s="8">
        <v>1</v>
      </c>
      <c r="E30" s="9">
        <v>28.536999999999999</v>
      </c>
      <c r="F30" s="9">
        <v>0</v>
      </c>
      <c r="G30" s="10"/>
      <c r="H30" s="10"/>
      <c r="I30" s="10">
        <f>COUNTIFS(Scenes!$B$7:$B$142,$B30,Scenes!$L$7:$L$142,"Done")</f>
        <v>0</v>
      </c>
      <c r="J30" s="10">
        <f>COUNTIFS(Scenes!$B$7:$B$142,$B30,Scenes!$M$7:$M$142,"Done")</f>
        <v>0</v>
      </c>
      <c r="K30" s="10">
        <f>COUNTIFS(Scenes!$B$7:$B$142,$B30,Scenes!$N$7:$N$142,"Done")</f>
        <v>0</v>
      </c>
      <c r="L30" s="10">
        <f>COUNTIFS(Scenes!$B$7:$B$142,$B30,Scenes!$O$7:$O$142,"Done")</f>
        <v>0</v>
      </c>
      <c r="M30" s="5"/>
    </row>
    <row r="31" spans="1:13" ht="22.05" customHeight="1">
      <c r="A31" s="5" t="s">
        <v>25</v>
      </c>
      <c r="B31" s="5" t="s">
        <v>53</v>
      </c>
      <c r="C31" s="5" t="s">
        <v>31</v>
      </c>
      <c r="D31" s="8">
        <v>2</v>
      </c>
      <c r="E31" s="9">
        <v>28.786000000000001</v>
      </c>
      <c r="F31" s="9">
        <v>2.8935185185185184E-4</v>
      </c>
      <c r="G31" s="10"/>
      <c r="H31" s="10"/>
      <c r="I31" s="10">
        <f>COUNTIFS(Scenes!$B$7:$B$142,$B31,Scenes!$L$7:$L$142,"Done")</f>
        <v>0</v>
      </c>
      <c r="J31" s="10">
        <f>COUNTIFS(Scenes!$B$7:$B$142,$B31,Scenes!$M$7:$M$142,"Done")</f>
        <v>0</v>
      </c>
      <c r="K31" s="10">
        <f>COUNTIFS(Scenes!$B$7:$B$142,$B31,Scenes!$N$7:$N$142,"Done")</f>
        <v>0</v>
      </c>
      <c r="L31" s="10">
        <f>COUNTIFS(Scenes!$B$7:$B$142,$B31,Scenes!$O$7:$O$142,"Done")</f>
        <v>0</v>
      </c>
      <c r="M31" s="5"/>
    </row>
    <row r="32" spans="1:13" ht="22.05" customHeight="1">
      <c r="A32" s="5" t="s">
        <v>25</v>
      </c>
      <c r="B32" s="5" t="s">
        <v>54</v>
      </c>
      <c r="C32" s="5" t="s">
        <v>31</v>
      </c>
      <c r="D32" s="8">
        <v>1</v>
      </c>
      <c r="E32" s="9">
        <v>31.581</v>
      </c>
      <c r="F32" s="9">
        <v>0</v>
      </c>
      <c r="G32" s="10"/>
      <c r="H32" s="10"/>
      <c r="I32" s="10">
        <f>COUNTIFS(Scenes!$B$7:$B$142,$B32,Scenes!$L$7:$L$142,"Done")</f>
        <v>0</v>
      </c>
      <c r="J32" s="10">
        <f>COUNTIFS(Scenes!$B$7:$B$142,$B32,Scenes!$M$7:$M$142,"Done")</f>
        <v>0</v>
      </c>
      <c r="K32" s="10">
        <f>COUNTIFS(Scenes!$B$7:$B$142,$B32,Scenes!$N$7:$N$142,"Done")</f>
        <v>0</v>
      </c>
      <c r="L32" s="10">
        <f>COUNTIFS(Scenes!$B$7:$B$142,$B32,Scenes!$O$7:$O$142,"Done")</f>
        <v>0</v>
      </c>
      <c r="M32" s="5"/>
    </row>
    <row r="33" spans="1:13" ht="22.05" customHeight="1">
      <c r="A33" s="5" t="s">
        <v>25</v>
      </c>
      <c r="B33" s="5" t="s">
        <v>55</v>
      </c>
      <c r="C33" s="5" t="s">
        <v>56</v>
      </c>
      <c r="D33" s="8">
        <v>3</v>
      </c>
      <c r="E33" s="9">
        <v>32.234000000000002</v>
      </c>
      <c r="F33" s="9">
        <v>3.5290393518518517</v>
      </c>
      <c r="G33" s="10"/>
      <c r="H33" s="10"/>
      <c r="I33" s="10">
        <f>COUNTIFS(Scenes!$B$7:$B$142,$B33,Scenes!$L$7:$L$142,"Done")</f>
        <v>0</v>
      </c>
      <c r="J33" s="10">
        <f>COUNTIFS(Scenes!$B$7:$B$142,$B33,Scenes!$M$7:$M$142,"Done")</f>
        <v>0</v>
      </c>
      <c r="K33" s="10">
        <f>COUNTIFS(Scenes!$B$7:$B$142,$B33,Scenes!$N$7:$N$142,"Done")</f>
        <v>0</v>
      </c>
      <c r="L33" s="10">
        <f>COUNTIFS(Scenes!$B$7:$B$142,$B33,Scenes!$O$7:$O$142,"Done")</f>
        <v>0</v>
      </c>
      <c r="M33" s="5"/>
    </row>
    <row r="34" spans="1:13" ht="22.05" customHeight="1">
      <c r="A34" s="5" t="s">
        <v>25</v>
      </c>
      <c r="B34" s="5" t="s">
        <v>57</v>
      </c>
      <c r="C34" s="5" t="s">
        <v>29</v>
      </c>
      <c r="D34" s="8">
        <v>2</v>
      </c>
      <c r="E34" s="9">
        <v>40.167000000000002</v>
      </c>
      <c r="F34" s="9">
        <v>2.7777777777777778E-4</v>
      </c>
      <c r="G34" s="10"/>
      <c r="H34" s="10"/>
      <c r="I34" s="11"/>
      <c r="J34" s="11"/>
      <c r="K34" s="10"/>
      <c r="L34" s="10">
        <f>COUNTIFS(Scenes!$B$7:$B$142,$B34,Scenes!$O$7:$O$142,"Done")</f>
        <v>0</v>
      </c>
      <c r="M34" s="5"/>
    </row>
    <row r="35" spans="1:13" ht="22.05" customHeight="1">
      <c r="A35" s="5" t="s">
        <v>25</v>
      </c>
      <c r="B35" s="5" t="s">
        <v>58</v>
      </c>
      <c r="C35" s="5" t="s">
        <v>52</v>
      </c>
      <c r="D35" s="8">
        <v>2</v>
      </c>
      <c r="E35" s="9">
        <v>40.186999999999998</v>
      </c>
      <c r="F35" s="9">
        <v>2.8935185185185184E-4</v>
      </c>
      <c r="G35" s="10"/>
      <c r="H35" s="10"/>
      <c r="I35" s="10">
        <f>COUNTIFS(Scenes!$B$7:$B$142,$B35,Scenes!$L$7:$L$142,"Done")</f>
        <v>0</v>
      </c>
      <c r="J35" s="10">
        <f>COUNTIFS(Scenes!$B$7:$B$142,$B35,Scenes!$M$7:$M$142,"Done")</f>
        <v>0</v>
      </c>
      <c r="K35" s="10">
        <f>COUNTIFS(Scenes!$B$7:$B$142,$B35,Scenes!$N$7:$N$142,"Done")</f>
        <v>0</v>
      </c>
      <c r="L35" s="10">
        <f>COUNTIFS(Scenes!$B$7:$B$142,$B35,Scenes!$O$7:$O$142,"Done")</f>
        <v>0</v>
      </c>
      <c r="M35" s="5"/>
    </row>
    <row r="36" spans="1:13" ht="22.05" customHeight="1">
      <c r="A36" s="5" t="s">
        <v>25</v>
      </c>
      <c r="B36" s="5" t="s">
        <v>59</v>
      </c>
      <c r="C36" s="5" t="s">
        <v>31</v>
      </c>
      <c r="D36" s="8">
        <v>1</v>
      </c>
      <c r="E36" s="9">
        <v>40.420999999999999</v>
      </c>
      <c r="F36" s="9">
        <v>0</v>
      </c>
      <c r="G36" s="10"/>
      <c r="H36" s="10"/>
      <c r="I36" s="10">
        <f>COUNTIFS(Scenes!$B$7:$B$142,$B36,Scenes!$L$7:$L$142,"Done")</f>
        <v>0</v>
      </c>
      <c r="J36" s="10">
        <f>COUNTIFS(Scenes!$B$7:$B$142,$B36,Scenes!$M$7:$M$142,"Done")</f>
        <v>0</v>
      </c>
      <c r="K36" s="10">
        <f>COUNTIFS(Scenes!$B$7:$B$142,$B36,Scenes!$N$7:$N$142,"Done")</f>
        <v>0</v>
      </c>
      <c r="L36" s="10">
        <f>COUNTIFS(Scenes!$B$7:$B$142,$B36,Scenes!$O$7:$O$142,"Done")</f>
        <v>0</v>
      </c>
      <c r="M36" s="5"/>
    </row>
    <row r="37" spans="1:13" ht="22.05" customHeight="1">
      <c r="A37" s="5" t="s">
        <v>25</v>
      </c>
      <c r="B37" s="5" t="s">
        <v>60</v>
      </c>
      <c r="C37" s="5" t="s">
        <v>31</v>
      </c>
      <c r="D37" s="8">
        <v>1</v>
      </c>
      <c r="E37" s="9">
        <v>40.581000000000003</v>
      </c>
      <c r="F37" s="9">
        <v>0</v>
      </c>
      <c r="G37" s="10"/>
      <c r="H37" s="10"/>
      <c r="I37" s="10">
        <f>COUNTIFS(Scenes!$B$7:$B$142,$B37,Scenes!$L$7:$L$142,"Done")</f>
        <v>0</v>
      </c>
      <c r="J37" s="10">
        <f>COUNTIFS(Scenes!$B$7:$B$142,$B37,Scenes!$M$7:$M$142,"Done")</f>
        <v>0</v>
      </c>
      <c r="K37" s="10">
        <f>COUNTIFS(Scenes!$B$7:$B$142,$B37,Scenes!$N$7:$N$142,"Done")</f>
        <v>0</v>
      </c>
      <c r="L37" s="10">
        <f>COUNTIFS(Scenes!$B$7:$B$142,$B37,Scenes!$O$7:$O$142,"Done")</f>
        <v>0</v>
      </c>
      <c r="M37" s="5"/>
    </row>
    <row r="38" spans="1:13" ht="22.05" customHeight="1">
      <c r="A38" s="5" t="s">
        <v>25</v>
      </c>
      <c r="B38" s="5" t="s">
        <v>61</v>
      </c>
      <c r="C38" s="5" t="s">
        <v>27</v>
      </c>
      <c r="D38" s="8">
        <v>1</v>
      </c>
      <c r="E38" s="9">
        <v>43.62</v>
      </c>
      <c r="F38" s="9">
        <v>0</v>
      </c>
      <c r="G38" s="10"/>
      <c r="H38" s="10"/>
      <c r="I38" s="10">
        <f>COUNTIFS(Scenes!$B$7:$B$142,$B38,Scenes!$L$7:$L$142,"Done")</f>
        <v>0</v>
      </c>
      <c r="J38" s="10">
        <f>COUNTIFS(Scenes!$B$7:$B$142,$B38,Scenes!$M$7:$M$142,"Done")</f>
        <v>0</v>
      </c>
      <c r="K38" s="10">
        <f>COUNTIFS(Scenes!$B$7:$B$142,$B38,Scenes!$N$7:$N$142,"Done")</f>
        <v>0</v>
      </c>
      <c r="L38" s="10">
        <f>COUNTIFS(Scenes!$B$7:$B$142,$B38,Scenes!$O$7:$O$142,"Done")</f>
        <v>0</v>
      </c>
      <c r="M38" s="5"/>
    </row>
    <row r="39" spans="1:13" ht="22.05" customHeight="1">
      <c r="A39" s="5" t="s">
        <v>25</v>
      </c>
      <c r="B39" s="5" t="s">
        <v>62</v>
      </c>
      <c r="C39" s="5" t="s">
        <v>45</v>
      </c>
      <c r="D39" s="8">
        <v>3</v>
      </c>
      <c r="E39" s="9">
        <v>47.618000000000002</v>
      </c>
      <c r="F39" s="9">
        <v>4.4856134259259255</v>
      </c>
      <c r="G39" s="10"/>
      <c r="H39" s="10"/>
      <c r="I39" s="10">
        <f>COUNTIFS(Scenes!$B$7:$B$142,$B39,Scenes!$L$7:$L$142,"Done")</f>
        <v>0</v>
      </c>
      <c r="J39" s="10">
        <f>COUNTIFS(Scenes!$B$7:$B$142,$B39,Scenes!$M$7:$M$142,"Done")</f>
        <v>0</v>
      </c>
      <c r="K39" s="10">
        <f>COUNTIFS(Scenes!$B$7:$B$142,$B39,Scenes!$N$7:$N$142,"Done")</f>
        <v>0</v>
      </c>
      <c r="L39" s="10">
        <f>COUNTIFS(Scenes!$B$7:$B$142,$B39,Scenes!$O$7:$O$142,"Done")</f>
        <v>0</v>
      </c>
      <c r="M39" s="5"/>
    </row>
    <row r="40" spans="1:13" ht="22.05" customHeight="1">
      <c r="A40" s="5" t="s">
        <v>25</v>
      </c>
      <c r="B40" s="5" t="s">
        <v>63</v>
      </c>
      <c r="C40" s="5" t="s">
        <v>27</v>
      </c>
      <c r="D40" s="8">
        <v>2</v>
      </c>
      <c r="E40" s="9">
        <v>52.463999999999999</v>
      </c>
      <c r="F40" s="9">
        <v>2.8935185185185184E-4</v>
      </c>
      <c r="G40" s="10"/>
      <c r="H40" s="10"/>
      <c r="I40" s="10">
        <f>COUNTIFS(Scenes!$B$7:$B$142,$B40,Scenes!$L$7:$L$142,"Done")</f>
        <v>0</v>
      </c>
      <c r="J40" s="10">
        <f>COUNTIFS(Scenes!$B$7:$B$142,$B40,Scenes!$M$7:$M$142,"Done")</f>
        <v>0</v>
      </c>
      <c r="K40" s="10">
        <f>COUNTIFS(Scenes!$B$7:$B$142,$B40,Scenes!$N$7:$N$142,"Done")</f>
        <v>0</v>
      </c>
      <c r="L40" s="10">
        <f>COUNTIFS(Scenes!$B$7:$B$142,$B40,Scenes!$O$7:$O$142,"Done")</f>
        <v>0</v>
      </c>
      <c r="M40" s="5"/>
    </row>
    <row r="41" spans="1:13" ht="22.05" customHeight="1">
      <c r="A41" s="5" t="s">
        <v>25</v>
      </c>
      <c r="B41" s="5" t="s">
        <v>64</v>
      </c>
      <c r="C41" s="5" t="s">
        <v>45</v>
      </c>
      <c r="D41" s="8">
        <v>2</v>
      </c>
      <c r="E41" s="9">
        <v>52.601999999999997</v>
      </c>
      <c r="F41" s="9">
        <v>3.2407407407407406E-4</v>
      </c>
      <c r="G41" s="10"/>
      <c r="H41" s="10"/>
      <c r="I41" s="10">
        <f>COUNTIFS(Scenes!$B$7:$B$142,$B41,Scenes!$L$7:$L$142,"Done")</f>
        <v>0</v>
      </c>
      <c r="J41" s="10">
        <f>COUNTIFS(Scenes!$B$7:$B$142,$B41,Scenes!$M$7:$M$142,"Done")</f>
        <v>0</v>
      </c>
      <c r="K41" s="10">
        <f>COUNTIFS(Scenes!$B$7:$B$142,$B41,Scenes!$N$7:$N$142,"Done")</f>
        <v>0</v>
      </c>
      <c r="L41" s="10">
        <f>COUNTIFS(Scenes!$B$7:$B$142,$B41,Scenes!$O$7:$O$142,"Done")</f>
        <v>0</v>
      </c>
      <c r="M41" s="5"/>
    </row>
    <row r="42" spans="1:13" ht="22.05" customHeight="1">
      <c r="A42" s="5" t="s">
        <v>25</v>
      </c>
      <c r="B42" s="5" t="s">
        <v>65</v>
      </c>
      <c r="C42" s="5" t="s">
        <v>66</v>
      </c>
      <c r="D42" s="8">
        <v>1</v>
      </c>
      <c r="E42" s="9">
        <v>55.548999999999999</v>
      </c>
      <c r="F42" s="9">
        <v>0</v>
      </c>
      <c r="G42" s="10"/>
      <c r="H42" s="10"/>
      <c r="I42" s="10">
        <f>COUNTIFS(Scenes!$B$7:$B$142,$B42,Scenes!$L$7:$L$142,"Done")</f>
        <v>0</v>
      </c>
      <c r="J42" s="10">
        <f>COUNTIFS(Scenes!$B$7:$B$142,$B42,Scenes!$M$7:$M$142,"Done")</f>
        <v>0</v>
      </c>
      <c r="K42" s="10">
        <f>COUNTIFS(Scenes!$B$7:$B$142,$B42,Scenes!$N$7:$N$142,"Done")</f>
        <v>0</v>
      </c>
      <c r="L42" s="10">
        <f>COUNTIFS(Scenes!$B$7:$B$142,$B42,Scenes!$O$7:$O$142,"Done")</f>
        <v>0</v>
      </c>
      <c r="M42" s="5"/>
    </row>
    <row r="43" spans="1:13" ht="22.05" customHeight="1">
      <c r="A43" s="5" t="s">
        <v>25</v>
      </c>
      <c r="B43" s="5" t="s">
        <v>67</v>
      </c>
      <c r="C43" s="5" t="s">
        <v>68</v>
      </c>
      <c r="D43" s="8">
        <v>1</v>
      </c>
      <c r="E43" s="9">
        <v>62.975000000000001</v>
      </c>
      <c r="F43" s="9">
        <v>0</v>
      </c>
      <c r="G43" s="10"/>
      <c r="H43" s="10"/>
      <c r="I43" s="10">
        <f>COUNTIFS(Scenes!$B$7:$B$142,$B43,Scenes!$L$7:$L$142,"Done")</f>
        <v>0</v>
      </c>
      <c r="J43" s="10">
        <f>COUNTIFS(Scenes!$B$7:$B$142,$B43,Scenes!$M$7:$M$142,"Done")</f>
        <v>0</v>
      </c>
      <c r="K43" s="10">
        <f>COUNTIFS(Scenes!$B$7:$B$142,$B43,Scenes!$N$7:$N$142,"Done")</f>
        <v>0</v>
      </c>
      <c r="L43" s="10">
        <f>COUNTIFS(Scenes!$B$7:$B$142,$B43,Scenes!$O$7:$O$142,"Done")</f>
        <v>0</v>
      </c>
      <c r="M43" s="5"/>
    </row>
    <row r="44" spans="1:13" ht="22.05" customHeight="1">
      <c r="A44" s="5" t="s">
        <v>25</v>
      </c>
      <c r="B44" s="5" t="s">
        <v>69</v>
      </c>
      <c r="C44" s="5" t="s">
        <v>52</v>
      </c>
      <c r="D44" s="8">
        <v>2</v>
      </c>
      <c r="E44" s="9">
        <v>64.269000000000005</v>
      </c>
      <c r="F44" s="9">
        <v>2.8935185185185184E-4</v>
      </c>
      <c r="G44" s="10"/>
      <c r="H44" s="10"/>
      <c r="I44" s="10">
        <f>COUNTIFS(Scenes!$B$7:$B$142,$B44,Scenes!$L$7:$L$142,"Done")</f>
        <v>0</v>
      </c>
      <c r="J44" s="10">
        <f>COUNTIFS(Scenes!$B$7:$B$142,$B44,Scenes!$M$7:$M$142,"Done")</f>
        <v>0</v>
      </c>
      <c r="K44" s="10">
        <f>COUNTIFS(Scenes!$B$7:$B$142,$B44,Scenes!$N$7:$N$142,"Done")</f>
        <v>0</v>
      </c>
      <c r="L44" s="10">
        <f>COUNTIFS(Scenes!$B$7:$B$142,$B44,Scenes!$O$7:$O$142,"Done")</f>
        <v>0</v>
      </c>
      <c r="M44" s="5"/>
    </row>
    <row r="45" spans="1:13" ht="22.05" customHeight="1">
      <c r="A45" s="5" t="s">
        <v>25</v>
      </c>
      <c r="B45" s="5" t="s">
        <v>70</v>
      </c>
      <c r="C45" s="5" t="s">
        <v>27</v>
      </c>
      <c r="D45" s="8">
        <v>1</v>
      </c>
      <c r="E45" s="9">
        <v>64.308999999999997</v>
      </c>
      <c r="F45" s="9">
        <v>0</v>
      </c>
      <c r="G45" s="10"/>
      <c r="H45" s="10"/>
      <c r="I45" s="10">
        <f>COUNTIFS(Scenes!$B$7:$B$142,$B45,Scenes!$L$7:$L$142,"Done")</f>
        <v>0</v>
      </c>
      <c r="J45" s="10">
        <f>COUNTIFS(Scenes!$B$7:$B$142,$B45,Scenes!$M$7:$M$142,"Done")</f>
        <v>0</v>
      </c>
      <c r="K45" s="10">
        <f>COUNTIFS(Scenes!$B$7:$B$142,$B45,Scenes!$N$7:$N$142,"Done")</f>
        <v>0</v>
      </c>
      <c r="L45" s="10">
        <f>COUNTIFS(Scenes!$B$7:$B$142,$B45,Scenes!$O$7:$O$142,"Done")</f>
        <v>0</v>
      </c>
      <c r="M45" s="5"/>
    </row>
    <row r="46" spans="1:13" ht="22.05" customHeight="1">
      <c r="A46" s="5" t="s">
        <v>25</v>
      </c>
      <c r="B46" s="5" t="s">
        <v>71</v>
      </c>
      <c r="C46" s="5" t="s">
        <v>31</v>
      </c>
      <c r="D46" s="8">
        <v>1</v>
      </c>
      <c r="E46" s="9">
        <v>64.418999999999997</v>
      </c>
      <c r="F46" s="9">
        <v>0</v>
      </c>
      <c r="G46" s="10"/>
      <c r="H46" s="10"/>
      <c r="I46" s="10">
        <f>COUNTIFS(Scenes!$B$7:$B$142,$B46,Scenes!$L$7:$L$142,"Done")</f>
        <v>0</v>
      </c>
      <c r="J46" s="10">
        <f>COUNTIFS(Scenes!$B$7:$B$142,$B46,Scenes!$M$7:$M$142,"Done")</f>
        <v>0</v>
      </c>
      <c r="K46" s="10">
        <f>COUNTIFS(Scenes!$B$7:$B$142,$B46,Scenes!$N$7:$N$142,"Done")</f>
        <v>0</v>
      </c>
      <c r="L46" s="10">
        <f>COUNTIFS(Scenes!$B$7:$B$142,$B46,Scenes!$O$7:$O$142,"Done")</f>
        <v>0</v>
      </c>
      <c r="M46" s="5"/>
    </row>
    <row r="47" spans="1:13" ht="22.05" customHeight="1">
      <c r="A47" s="5" t="s">
        <v>25</v>
      </c>
      <c r="B47" s="5" t="s">
        <v>72</v>
      </c>
      <c r="C47" s="5" t="s">
        <v>27</v>
      </c>
      <c r="D47" s="8">
        <v>2</v>
      </c>
      <c r="E47" s="9">
        <v>67.477999999999994</v>
      </c>
      <c r="F47" s="9">
        <v>2.8935185185185184E-4</v>
      </c>
      <c r="G47" s="10"/>
      <c r="H47" s="10"/>
      <c r="I47" s="10">
        <f>COUNTIFS(Scenes!$B$7:$B$142,$B47,Scenes!$L$7:$L$142,"Done")</f>
        <v>0</v>
      </c>
      <c r="J47" s="10">
        <f>COUNTIFS(Scenes!$B$7:$B$142,$B47,Scenes!$M$7:$M$142,"Done")</f>
        <v>0</v>
      </c>
      <c r="K47" s="10">
        <f>COUNTIFS(Scenes!$B$7:$B$142,$B47,Scenes!$N$7:$N$142,"Done")</f>
        <v>0</v>
      </c>
      <c r="L47" s="10">
        <f>COUNTIFS(Scenes!$B$7:$B$142,$B47,Scenes!$O$7:$O$142,"Done")</f>
        <v>0</v>
      </c>
      <c r="M47" s="5"/>
    </row>
    <row r="48" spans="1:13" ht="22.05" customHeight="1">
      <c r="A48" s="5" t="s">
        <v>25</v>
      </c>
      <c r="B48" s="5" t="s">
        <v>73</v>
      </c>
      <c r="C48" s="5" t="s">
        <v>27</v>
      </c>
      <c r="D48" s="8">
        <v>2</v>
      </c>
      <c r="E48" s="9">
        <v>67.527000000000001</v>
      </c>
      <c r="F48" s="9">
        <v>2.8935185185185184E-4</v>
      </c>
      <c r="G48" s="10"/>
      <c r="H48" s="10"/>
      <c r="I48" s="10">
        <f>COUNTIFS(Scenes!$B$7:$B$142,$B48,Scenes!$L$7:$L$142,"Done")</f>
        <v>0</v>
      </c>
      <c r="J48" s="10">
        <f>COUNTIFS(Scenes!$B$7:$B$142,$B48,Scenes!$M$7:$M$142,"Done")</f>
        <v>0</v>
      </c>
      <c r="K48" s="10">
        <f>COUNTIFS(Scenes!$B$7:$B$142,$B48,Scenes!$N$7:$N$142,"Done")</f>
        <v>0</v>
      </c>
      <c r="L48" s="10">
        <f>COUNTIFS(Scenes!$B$7:$B$142,$B48,Scenes!$O$7:$O$142,"Done")</f>
        <v>0</v>
      </c>
      <c r="M48" s="5"/>
    </row>
    <row r="49" spans="1:13" ht="22.05" customHeight="1">
      <c r="A49" s="5" t="s">
        <v>25</v>
      </c>
      <c r="B49" s="5" t="s">
        <v>74</v>
      </c>
      <c r="C49" s="5" t="s">
        <v>75</v>
      </c>
      <c r="D49" s="8">
        <v>2</v>
      </c>
      <c r="E49" s="9">
        <v>67.623999999999995</v>
      </c>
      <c r="F49" s="9">
        <v>3.0092592592592595E-4</v>
      </c>
      <c r="G49" s="10"/>
      <c r="H49" s="10"/>
      <c r="I49" s="10">
        <f>COUNTIFS(Scenes!$B$7:$B$142,$B49,Scenes!$L$7:$L$142,"Done")</f>
        <v>0</v>
      </c>
      <c r="J49" s="10">
        <f>COUNTIFS(Scenes!$B$7:$B$142,$B49,Scenes!$M$7:$M$142,"Done")</f>
        <v>0</v>
      </c>
      <c r="K49" s="10">
        <f>COUNTIFS(Scenes!$B$7:$B$142,$B49,Scenes!$N$7:$N$142,"Done")</f>
        <v>0</v>
      </c>
      <c r="L49" s="10">
        <f>COUNTIFS(Scenes!$B$7:$B$142,$B49,Scenes!$O$7:$O$142,"Done")</f>
        <v>0</v>
      </c>
      <c r="M49" s="5"/>
    </row>
    <row r="50" spans="1:13" ht="22.05" customHeight="1">
      <c r="A50" s="5" t="s">
        <v>76</v>
      </c>
      <c r="B50" s="5" t="s">
        <v>77</v>
      </c>
      <c r="C50" s="5" t="s">
        <v>78</v>
      </c>
      <c r="D50" s="8">
        <v>1</v>
      </c>
      <c r="E50" s="9">
        <v>0.20300000000000001</v>
      </c>
      <c r="F50" s="9">
        <v>0</v>
      </c>
      <c r="G50" s="10" t="s">
        <v>534</v>
      </c>
      <c r="H50" s="10" t="s">
        <v>534</v>
      </c>
      <c r="I50" s="10" t="s">
        <v>534</v>
      </c>
      <c r="J50" s="10" t="s">
        <v>534</v>
      </c>
      <c r="K50" s="10" t="s">
        <v>536</v>
      </c>
      <c r="L50" s="10">
        <f>COUNTIFS(Scenes!$B$7:$B$142,$B50,Scenes!$O$7:$O$142,"Done")</f>
        <v>0</v>
      </c>
      <c r="M50" s="5"/>
    </row>
    <row r="51" spans="1:13" ht="22.05" customHeight="1">
      <c r="A51" s="5" t="s">
        <v>76</v>
      </c>
      <c r="B51" s="5" t="s">
        <v>79</v>
      </c>
      <c r="C51" s="5" t="s">
        <v>80</v>
      </c>
      <c r="D51" s="8">
        <v>1</v>
      </c>
      <c r="E51" s="9">
        <v>0.443</v>
      </c>
      <c r="F51" s="9">
        <v>0</v>
      </c>
      <c r="G51" s="10" t="s">
        <v>534</v>
      </c>
      <c r="H51" s="10" t="s">
        <v>534</v>
      </c>
      <c r="I51" s="10" t="s">
        <v>534</v>
      </c>
      <c r="J51" s="10" t="s">
        <v>534</v>
      </c>
      <c r="K51" s="10" t="s">
        <v>536</v>
      </c>
      <c r="L51" s="10">
        <f>COUNTIFS(Scenes!$B$7:$B$142,$B51,Scenes!$O$7:$O$142,"Done")</f>
        <v>0</v>
      </c>
      <c r="M51" s="5"/>
    </row>
    <row r="52" spans="1:13" ht="22.05" customHeight="1">
      <c r="A52" s="5" t="s">
        <v>76</v>
      </c>
      <c r="B52" s="5" t="s">
        <v>81</v>
      </c>
      <c r="C52" s="5" t="s">
        <v>82</v>
      </c>
      <c r="D52" s="8">
        <v>2</v>
      </c>
      <c r="E52" s="9">
        <v>4.0419999999999998</v>
      </c>
      <c r="F52" s="9">
        <v>5.0055439814814813</v>
      </c>
      <c r="G52" s="10"/>
      <c r="H52" s="10"/>
      <c r="I52" s="10">
        <f>COUNTIFS(Scenes!$B$7:$B$142,$B52,Scenes!$L$7:$L$142,"Done")</f>
        <v>0</v>
      </c>
      <c r="J52" s="10">
        <f>COUNTIFS(Scenes!$B$7:$B$142,$B52,Scenes!$M$7:$M$142,"Done")</f>
        <v>0</v>
      </c>
      <c r="K52" s="10">
        <f>COUNTIFS(Scenes!$B$7:$B$142,$B52,Scenes!$N$7:$N$142,"Done")</f>
        <v>0</v>
      </c>
      <c r="L52" s="10">
        <f>COUNTIFS(Scenes!$B$7:$B$142,$B52,Scenes!$O$7:$O$142,"Done")</f>
        <v>0</v>
      </c>
      <c r="M52" s="5"/>
    </row>
    <row r="53" spans="1:13" ht="22.05" customHeight="1">
      <c r="A53" s="5" t="s">
        <v>76</v>
      </c>
      <c r="B53" s="5" t="s">
        <v>83</v>
      </c>
      <c r="C53" s="5" t="s">
        <v>84</v>
      </c>
      <c r="D53" s="8">
        <v>3</v>
      </c>
      <c r="E53" s="9">
        <v>4.8860000000000001</v>
      </c>
      <c r="F53" s="9">
        <v>2.4877777777777776</v>
      </c>
      <c r="G53" s="11" t="s">
        <v>535</v>
      </c>
      <c r="H53" s="11" t="s">
        <v>535</v>
      </c>
      <c r="I53" s="11" t="s">
        <v>535</v>
      </c>
      <c r="J53" s="11" t="s">
        <v>535</v>
      </c>
      <c r="K53" s="10" t="s">
        <v>536</v>
      </c>
      <c r="L53" s="10">
        <f>COUNTIFS(Scenes!$B$7:$B$142,$B53,Scenes!$O$7:$O$142,"Done")</f>
        <v>0</v>
      </c>
      <c r="M53" s="5"/>
    </row>
    <row r="54" spans="1:13" ht="22.05" customHeight="1">
      <c r="A54" s="5" t="s">
        <v>76</v>
      </c>
      <c r="B54" s="5" t="s">
        <v>85</v>
      </c>
      <c r="C54" s="5" t="s">
        <v>86</v>
      </c>
      <c r="D54" s="8">
        <v>2</v>
      </c>
      <c r="E54" s="9">
        <v>6.1070000000000002</v>
      </c>
      <c r="F54" s="9">
        <v>1.4913657407407408</v>
      </c>
      <c r="G54" s="10"/>
      <c r="H54" s="10"/>
      <c r="I54" s="10">
        <f>COUNTIFS(Scenes!$B$7:$B$142,$B54,Scenes!$L$7:$L$142,"Done")</f>
        <v>0</v>
      </c>
      <c r="J54" s="10">
        <f>COUNTIFS(Scenes!$B$7:$B$142,$B54,Scenes!$M$7:$M$142,"Done")</f>
        <v>0</v>
      </c>
      <c r="K54" s="10">
        <f>COUNTIFS(Scenes!$B$7:$B$142,$B54,Scenes!$N$7:$N$142,"Done")</f>
        <v>0</v>
      </c>
      <c r="L54" s="10">
        <f>COUNTIFS(Scenes!$B$7:$B$142,$B54,Scenes!$O$7:$O$142,"Done")</f>
        <v>0</v>
      </c>
      <c r="M54" s="5"/>
    </row>
    <row r="55" spans="1:13" ht="22.05" customHeight="1">
      <c r="A55" s="5" t="s">
        <v>76</v>
      </c>
      <c r="B55" s="5" t="s">
        <v>87</v>
      </c>
      <c r="C55" s="5" t="s">
        <v>88</v>
      </c>
      <c r="D55" s="8">
        <v>2</v>
      </c>
      <c r="E55" s="9">
        <v>7.1959999999999997</v>
      </c>
      <c r="F55" s="9">
        <v>6.4947453703703708</v>
      </c>
      <c r="G55" s="10"/>
      <c r="H55" s="10"/>
      <c r="I55" s="10">
        <f>COUNTIFS(Scenes!$B$7:$B$142,$B55,Scenes!$L$7:$L$142,"Done")</f>
        <v>0</v>
      </c>
      <c r="J55" s="10">
        <f>COUNTIFS(Scenes!$B$7:$B$142,$B55,Scenes!$M$7:$M$142,"Done")</f>
        <v>0</v>
      </c>
      <c r="K55" s="10">
        <f>COUNTIFS(Scenes!$B$7:$B$142,$B55,Scenes!$N$7:$N$142,"Done")</f>
        <v>0</v>
      </c>
      <c r="L55" s="10">
        <f>COUNTIFS(Scenes!$B$7:$B$142,$B55,Scenes!$O$7:$O$142,"Done")</f>
        <v>0</v>
      </c>
      <c r="M55" s="5"/>
    </row>
    <row r="56" spans="1:13" ht="22.05" customHeight="1">
      <c r="A56" s="5" t="s">
        <v>76</v>
      </c>
      <c r="B56" s="5" t="s">
        <v>89</v>
      </c>
      <c r="C56" s="5" t="s">
        <v>88</v>
      </c>
      <c r="D56" s="8">
        <v>2</v>
      </c>
      <c r="E56" s="9">
        <v>7.3170000000000002</v>
      </c>
      <c r="F56" s="9">
        <v>6.0005092592592595</v>
      </c>
      <c r="G56" s="10"/>
      <c r="H56" s="10"/>
      <c r="I56" s="10">
        <f>COUNTIFS(Scenes!$B$7:$B$142,$B56,Scenes!$L$7:$L$142,"Done")</f>
        <v>0</v>
      </c>
      <c r="J56" s="10">
        <f>COUNTIFS(Scenes!$B$7:$B$142,$B56,Scenes!$M$7:$M$142,"Done")</f>
        <v>0</v>
      </c>
      <c r="K56" s="10">
        <f>COUNTIFS(Scenes!$B$7:$B$142,$B56,Scenes!$N$7:$N$142,"Done")</f>
        <v>0</v>
      </c>
      <c r="L56" s="10">
        <f>COUNTIFS(Scenes!$B$7:$B$142,$B56,Scenes!$O$7:$O$142,"Done")</f>
        <v>0</v>
      </c>
      <c r="M56" s="5"/>
    </row>
    <row r="57" spans="1:13" ht="22.05" customHeight="1">
      <c r="A57" s="5" t="s">
        <v>76</v>
      </c>
      <c r="B57" s="5" t="s">
        <v>90</v>
      </c>
      <c r="C57" s="5" t="s">
        <v>91</v>
      </c>
      <c r="D57" s="8">
        <v>2</v>
      </c>
      <c r="E57" s="9">
        <v>7.64</v>
      </c>
      <c r="F57" s="9">
        <v>0.99484953703703705</v>
      </c>
      <c r="G57" s="10"/>
      <c r="H57" s="10"/>
      <c r="I57" s="10">
        <f>COUNTIFS(Scenes!$B$7:$B$142,$B57,Scenes!$L$7:$L$142,"Done")</f>
        <v>0</v>
      </c>
      <c r="J57" s="10">
        <f>COUNTIFS(Scenes!$B$7:$B$142,$B57,Scenes!$M$7:$M$142,"Done")</f>
        <v>0</v>
      </c>
      <c r="K57" s="10">
        <f>COUNTIFS(Scenes!$B$7:$B$142,$B57,Scenes!$N$7:$N$142,"Done")</f>
        <v>0</v>
      </c>
      <c r="L57" s="10">
        <f>COUNTIFS(Scenes!$B$7:$B$142,$B57,Scenes!$O$7:$O$142,"Done")</f>
        <v>0</v>
      </c>
      <c r="M57" s="5"/>
    </row>
    <row r="58" spans="1:13" ht="22.05" customHeight="1">
      <c r="A58" s="5" t="s">
        <v>76</v>
      </c>
      <c r="B58" s="5" t="s">
        <v>92</v>
      </c>
      <c r="C58" s="5" t="s">
        <v>93</v>
      </c>
      <c r="D58" s="8">
        <v>2</v>
      </c>
      <c r="E58" s="9">
        <v>8.0190000000000001</v>
      </c>
      <c r="F58" s="9">
        <v>2.5089004629629628</v>
      </c>
      <c r="G58" s="10"/>
      <c r="H58" s="10"/>
      <c r="I58" s="10">
        <f>COUNTIFS(Scenes!$B$7:$B$142,$B58,Scenes!$L$7:$L$142,"Done")</f>
        <v>0</v>
      </c>
      <c r="J58" s="10">
        <f>COUNTIFS(Scenes!$B$7:$B$142,$B58,Scenes!$M$7:$M$142,"Done")</f>
        <v>0</v>
      </c>
      <c r="K58" s="10">
        <f>COUNTIFS(Scenes!$B$7:$B$142,$B58,Scenes!$N$7:$N$142,"Done")</f>
        <v>0</v>
      </c>
      <c r="L58" s="10">
        <f>COUNTIFS(Scenes!$B$7:$B$142,$B58,Scenes!$O$7:$O$142,"Done")</f>
        <v>0</v>
      </c>
      <c r="M58" s="5"/>
    </row>
    <row r="59" spans="1:13" ht="22.05" customHeight="1">
      <c r="A59" s="5" t="s">
        <v>76</v>
      </c>
      <c r="B59" s="5" t="s">
        <v>94</v>
      </c>
      <c r="C59" s="5" t="s">
        <v>95</v>
      </c>
      <c r="D59" s="8">
        <v>1</v>
      </c>
      <c r="E59" s="9">
        <v>10.76</v>
      </c>
      <c r="F59" s="9">
        <v>0</v>
      </c>
      <c r="G59" s="10"/>
      <c r="H59" s="10"/>
      <c r="I59" s="10">
        <f>COUNTIFS(Scenes!$B$7:$B$142,$B59,Scenes!$L$7:$L$142,"Done")</f>
        <v>0</v>
      </c>
      <c r="J59" s="10">
        <f>COUNTIFS(Scenes!$B$7:$B$142,$B59,Scenes!$M$7:$M$142,"Done")</f>
        <v>0</v>
      </c>
      <c r="K59" s="10">
        <f>COUNTIFS(Scenes!$B$7:$B$142,$B59,Scenes!$N$7:$N$142,"Done")</f>
        <v>0</v>
      </c>
      <c r="L59" s="10">
        <f>COUNTIFS(Scenes!$B$7:$B$142,$B59,Scenes!$O$7:$O$142,"Done")</f>
        <v>0</v>
      </c>
      <c r="M59" s="5"/>
    </row>
    <row r="60" spans="1:13" ht="22.05" customHeight="1">
      <c r="A60" s="5" t="s">
        <v>76</v>
      </c>
      <c r="B60" s="5" t="s">
        <v>96</v>
      </c>
      <c r="C60" s="5" t="s">
        <v>97</v>
      </c>
      <c r="D60" s="8">
        <v>2</v>
      </c>
      <c r="E60" s="9">
        <v>15.708</v>
      </c>
      <c r="F60" s="9">
        <v>2.8935185185185184E-4</v>
      </c>
      <c r="G60" s="10"/>
      <c r="H60" s="10"/>
      <c r="I60" s="10">
        <f>COUNTIFS(Scenes!$B$7:$B$142,$B60,Scenes!$L$7:$L$142,"Done")</f>
        <v>0</v>
      </c>
      <c r="J60" s="10">
        <f>COUNTIFS(Scenes!$B$7:$B$142,$B60,Scenes!$M$7:$M$142,"Done")</f>
        <v>0</v>
      </c>
      <c r="K60" s="10">
        <f>COUNTIFS(Scenes!$B$7:$B$142,$B60,Scenes!$N$7:$N$142,"Done")</f>
        <v>0</v>
      </c>
      <c r="L60" s="10">
        <f>COUNTIFS(Scenes!$B$7:$B$142,$B60,Scenes!$O$7:$O$142,"Done")</f>
        <v>0</v>
      </c>
      <c r="M60" s="5"/>
    </row>
    <row r="61" spans="1:13" ht="22.05" customHeight="1">
      <c r="A61" s="5" t="s">
        <v>76</v>
      </c>
      <c r="B61" s="5" t="s">
        <v>98</v>
      </c>
      <c r="C61" s="5" t="s">
        <v>99</v>
      </c>
      <c r="D61" s="8">
        <v>1</v>
      </c>
      <c r="E61" s="9">
        <v>17.972000000000001</v>
      </c>
      <c r="F61" s="9">
        <v>0</v>
      </c>
      <c r="G61" s="10"/>
      <c r="H61" s="10"/>
      <c r="I61" s="10">
        <f>COUNTIFS(Scenes!$B$7:$B$142,$B61,Scenes!$L$7:$L$142,"Done")</f>
        <v>0</v>
      </c>
      <c r="J61" s="10">
        <f>COUNTIFS(Scenes!$B$7:$B$142,$B61,Scenes!$M$7:$M$142,"Done")</f>
        <v>0</v>
      </c>
      <c r="K61" s="10">
        <f>COUNTIFS(Scenes!$B$7:$B$142,$B61,Scenes!$N$7:$N$142,"Done")</f>
        <v>0</v>
      </c>
      <c r="L61" s="10">
        <f>COUNTIFS(Scenes!$B$7:$B$142,$B61,Scenes!$O$7:$O$142,"Done")</f>
        <v>0</v>
      </c>
      <c r="M61" s="5"/>
    </row>
    <row r="62" spans="1:13" ht="22.05" customHeight="1">
      <c r="A62" s="5" t="s">
        <v>76</v>
      </c>
      <c r="B62" s="5" t="s">
        <v>100</v>
      </c>
      <c r="C62" s="5" t="s">
        <v>97</v>
      </c>
      <c r="D62" s="8">
        <v>1</v>
      </c>
      <c r="E62" s="9">
        <v>19.988</v>
      </c>
      <c r="F62" s="9">
        <v>0</v>
      </c>
      <c r="G62" s="10"/>
      <c r="H62" s="10"/>
      <c r="I62" s="10">
        <f>COUNTIFS(Scenes!$B$7:$B$142,$B62,Scenes!$L$7:$L$142,"Done")</f>
        <v>0</v>
      </c>
      <c r="J62" s="10">
        <f>COUNTIFS(Scenes!$B$7:$B$142,$B62,Scenes!$M$7:$M$142,"Done")</f>
        <v>0</v>
      </c>
      <c r="K62" s="10">
        <f>COUNTIFS(Scenes!$B$7:$B$142,$B62,Scenes!$N$7:$N$142,"Done")</f>
        <v>0</v>
      </c>
      <c r="L62" s="10">
        <f>COUNTIFS(Scenes!$B$7:$B$142,$B62,Scenes!$O$7:$O$142,"Done")</f>
        <v>0</v>
      </c>
      <c r="M62" s="5"/>
    </row>
    <row r="63" spans="1:13" ht="22.05" customHeight="1">
      <c r="A63" s="5" t="s">
        <v>76</v>
      </c>
      <c r="B63" s="5" t="s">
        <v>101</v>
      </c>
      <c r="C63" s="5" t="s">
        <v>93</v>
      </c>
      <c r="D63" s="8">
        <v>1</v>
      </c>
      <c r="E63" s="9">
        <v>20.582999999999998</v>
      </c>
      <c r="F63" s="9">
        <v>0</v>
      </c>
      <c r="G63" s="10"/>
      <c r="H63" s="10"/>
      <c r="I63" s="10">
        <f>COUNTIFS(Scenes!$B$7:$B$142,$B63,Scenes!$L$7:$L$142,"Done")</f>
        <v>0</v>
      </c>
      <c r="J63" s="10">
        <f>COUNTIFS(Scenes!$B$7:$B$142,$B63,Scenes!$M$7:$M$142,"Done")</f>
        <v>0</v>
      </c>
      <c r="K63" s="10">
        <f>COUNTIFS(Scenes!$B$7:$B$142,$B63,Scenes!$N$7:$N$142,"Done")</f>
        <v>0</v>
      </c>
      <c r="L63" s="10">
        <f>COUNTIFS(Scenes!$B$7:$B$142,$B63,Scenes!$O$7:$O$142,"Done")</f>
        <v>0</v>
      </c>
      <c r="M63" s="5"/>
    </row>
    <row r="64" spans="1:13" ht="22.05" customHeight="1">
      <c r="A64" s="5" t="s">
        <v>76</v>
      </c>
      <c r="B64" s="5" t="s">
        <v>102</v>
      </c>
      <c r="C64" s="5" t="s">
        <v>103</v>
      </c>
      <c r="D64" s="8">
        <v>1</v>
      </c>
      <c r="E64" s="9">
        <v>20.638000000000002</v>
      </c>
      <c r="F64" s="9">
        <v>0</v>
      </c>
      <c r="G64" s="10"/>
      <c r="H64" s="10"/>
      <c r="I64" s="10">
        <f>COUNTIFS(Scenes!$B$7:$B$142,$B64,Scenes!$L$7:$L$142,"Done")</f>
        <v>0</v>
      </c>
      <c r="J64" s="10">
        <f>COUNTIFS(Scenes!$B$7:$B$142,$B64,Scenes!$M$7:$M$142,"Done")</f>
        <v>0</v>
      </c>
      <c r="K64" s="10">
        <f>COUNTIFS(Scenes!$B$7:$B$142,$B64,Scenes!$N$7:$N$142,"Done")</f>
        <v>0</v>
      </c>
      <c r="L64" s="10">
        <f>COUNTIFS(Scenes!$B$7:$B$142,$B64,Scenes!$O$7:$O$142,"Done")</f>
        <v>0</v>
      </c>
      <c r="M64" s="5"/>
    </row>
    <row r="65" spans="1:13" ht="22.05" customHeight="1">
      <c r="A65" s="5" t="s">
        <v>76</v>
      </c>
      <c r="B65" s="5" t="s">
        <v>104</v>
      </c>
      <c r="C65" s="5" t="s">
        <v>105</v>
      </c>
      <c r="D65" s="8">
        <v>1</v>
      </c>
      <c r="E65" s="9">
        <v>24.106000000000002</v>
      </c>
      <c r="F65" s="9">
        <v>0</v>
      </c>
      <c r="G65" s="10"/>
      <c r="H65" s="10"/>
      <c r="I65" s="10">
        <f>COUNTIFS(Scenes!$B$7:$B$142,$B65,Scenes!$L$7:$L$142,"Done")</f>
        <v>0</v>
      </c>
      <c r="J65" s="10">
        <f>COUNTIFS(Scenes!$B$7:$B$142,$B65,Scenes!$M$7:$M$142,"Done")</f>
        <v>0</v>
      </c>
      <c r="K65" s="10">
        <f>COUNTIFS(Scenes!$B$7:$B$142,$B65,Scenes!$N$7:$N$142,"Done")</f>
        <v>0</v>
      </c>
      <c r="L65" s="10">
        <f>COUNTIFS(Scenes!$B$7:$B$142,$B65,Scenes!$O$7:$O$142,"Done")</f>
        <v>0</v>
      </c>
      <c r="M65" s="5"/>
    </row>
    <row r="66" spans="1:13" ht="22.05" customHeight="1">
      <c r="A66" s="5" t="s">
        <v>76</v>
      </c>
      <c r="B66" s="5" t="s">
        <v>106</v>
      </c>
      <c r="C66" s="5" t="s">
        <v>107</v>
      </c>
      <c r="D66" s="8">
        <v>1</v>
      </c>
      <c r="E66" s="9">
        <v>28.254000000000001</v>
      </c>
      <c r="F66" s="9">
        <v>0</v>
      </c>
      <c r="G66" s="10"/>
      <c r="H66" s="10"/>
      <c r="I66" s="10">
        <f>COUNTIFS(Scenes!$B$7:$B$142,$B66,Scenes!$L$7:$L$142,"Done")</f>
        <v>0</v>
      </c>
      <c r="J66" s="10">
        <f>COUNTIFS(Scenes!$B$7:$B$142,$B66,Scenes!$M$7:$M$142,"Done")</f>
        <v>0</v>
      </c>
      <c r="K66" s="10">
        <f>COUNTIFS(Scenes!$B$7:$B$142,$B66,Scenes!$N$7:$N$142,"Done")</f>
        <v>0</v>
      </c>
      <c r="L66" s="10">
        <f>COUNTIFS(Scenes!$B$7:$B$142,$B66,Scenes!$O$7:$O$142,"Done")</f>
        <v>0</v>
      </c>
      <c r="M66" s="5"/>
    </row>
    <row r="67" spans="1:13" ht="22.05" customHeight="1">
      <c r="A67" s="5" t="s">
        <v>76</v>
      </c>
      <c r="B67" s="5" t="s">
        <v>108</v>
      </c>
      <c r="C67" s="5" t="s">
        <v>109</v>
      </c>
      <c r="D67" s="8">
        <v>2</v>
      </c>
      <c r="E67" s="9">
        <v>28.937999999999999</v>
      </c>
      <c r="F67" s="9">
        <v>2.8935185185185184E-4</v>
      </c>
      <c r="G67" s="10"/>
      <c r="H67" s="10"/>
      <c r="I67" s="10">
        <f>COUNTIFS(Scenes!$B$7:$B$142,$B67,Scenes!$L$7:$L$142,"Done")</f>
        <v>0</v>
      </c>
      <c r="J67" s="10">
        <f>COUNTIFS(Scenes!$B$7:$B$142,$B67,Scenes!$M$7:$M$142,"Done")</f>
        <v>0</v>
      </c>
      <c r="K67" s="10">
        <f>COUNTIFS(Scenes!$B$7:$B$142,$B67,Scenes!$N$7:$N$142,"Done")</f>
        <v>0</v>
      </c>
      <c r="L67" s="10">
        <f>COUNTIFS(Scenes!$B$7:$B$142,$B67,Scenes!$O$7:$O$142,"Done")</f>
        <v>0</v>
      </c>
      <c r="M67" s="5"/>
    </row>
    <row r="68" spans="1:13" ht="22.05" customHeight="1">
      <c r="A68" s="5" t="s">
        <v>76</v>
      </c>
      <c r="B68" s="5" t="s">
        <v>110</v>
      </c>
      <c r="C68" s="5" t="s">
        <v>111</v>
      </c>
      <c r="D68" s="8">
        <v>3</v>
      </c>
      <c r="E68" s="9">
        <v>29.693999999999999</v>
      </c>
      <c r="F68" s="9">
        <v>2.4863194444444443</v>
      </c>
      <c r="G68" s="10"/>
      <c r="H68" s="10"/>
      <c r="I68" s="10">
        <f>COUNTIFS(Scenes!$B$7:$B$142,$B68,Scenes!$L$7:$L$142,"Done")</f>
        <v>0</v>
      </c>
      <c r="J68" s="10">
        <f>COUNTIFS(Scenes!$B$7:$B$142,$B68,Scenes!$M$7:$M$142,"Done")</f>
        <v>0</v>
      </c>
      <c r="K68" s="10">
        <f>COUNTIFS(Scenes!$B$7:$B$142,$B68,Scenes!$N$7:$N$142,"Done")</f>
        <v>0</v>
      </c>
      <c r="L68" s="10">
        <f>COUNTIFS(Scenes!$B$7:$B$142,$B68,Scenes!$O$7:$O$142,"Done")</f>
        <v>0</v>
      </c>
      <c r="M68" s="5"/>
    </row>
    <row r="69" spans="1:13" ht="22.05" customHeight="1">
      <c r="A69" s="5" t="s">
        <v>76</v>
      </c>
      <c r="B69" s="5" t="s">
        <v>112</v>
      </c>
      <c r="C69" s="5" t="s">
        <v>113</v>
      </c>
      <c r="D69" s="8">
        <v>1</v>
      </c>
      <c r="E69" s="9">
        <v>30.32</v>
      </c>
      <c r="F69" s="9">
        <v>0</v>
      </c>
      <c r="G69" s="10"/>
      <c r="H69" s="10"/>
      <c r="I69" s="10">
        <f>COUNTIFS(Scenes!$B$7:$B$142,$B69,Scenes!$L$7:$L$142,"Done")</f>
        <v>0</v>
      </c>
      <c r="J69" s="10">
        <f>COUNTIFS(Scenes!$B$7:$B$142,$B69,Scenes!$M$7:$M$142,"Done")</f>
        <v>0</v>
      </c>
      <c r="K69" s="10">
        <f>COUNTIFS(Scenes!$B$7:$B$142,$B69,Scenes!$N$7:$N$142,"Done")</f>
        <v>0</v>
      </c>
      <c r="L69" s="10">
        <f>COUNTIFS(Scenes!$B$7:$B$142,$B69,Scenes!$O$7:$O$142,"Done")</f>
        <v>0</v>
      </c>
      <c r="M69" s="5"/>
    </row>
    <row r="70" spans="1:13" ht="22.05" customHeight="1">
      <c r="A70" s="5" t="s">
        <v>76</v>
      </c>
      <c r="B70" s="5" t="s">
        <v>114</v>
      </c>
      <c r="C70" s="5" t="s">
        <v>115</v>
      </c>
      <c r="D70" s="8">
        <v>1</v>
      </c>
      <c r="E70" s="9">
        <v>31.03</v>
      </c>
      <c r="F70" s="9">
        <v>0</v>
      </c>
      <c r="G70" s="10"/>
      <c r="H70" s="10"/>
      <c r="I70" s="10">
        <f>COUNTIFS(Scenes!$B$7:$B$142,$B70,Scenes!$L$7:$L$142,"Done")</f>
        <v>0</v>
      </c>
      <c r="J70" s="10">
        <f>COUNTIFS(Scenes!$B$7:$B$142,$B70,Scenes!$M$7:$M$142,"Done")</f>
        <v>0</v>
      </c>
      <c r="K70" s="10">
        <f>COUNTIFS(Scenes!$B$7:$B$142,$B70,Scenes!$N$7:$N$142,"Done")</f>
        <v>0</v>
      </c>
      <c r="L70" s="10">
        <f>COUNTIFS(Scenes!$B$7:$B$142,$B70,Scenes!$O$7:$O$142,"Done")</f>
        <v>0</v>
      </c>
      <c r="M70" s="5"/>
    </row>
    <row r="71" spans="1:13" ht="22.05" customHeight="1">
      <c r="A71" s="5" t="s">
        <v>76</v>
      </c>
      <c r="B71" s="5" t="s">
        <v>116</v>
      </c>
      <c r="C71" s="5" t="s">
        <v>117</v>
      </c>
      <c r="D71" s="8">
        <v>1</v>
      </c>
      <c r="E71" s="9">
        <v>35.976999999999997</v>
      </c>
      <c r="F71" s="9">
        <v>0</v>
      </c>
      <c r="G71" s="10"/>
      <c r="H71" s="10"/>
      <c r="I71" s="10">
        <f>COUNTIFS(Scenes!$B$7:$B$142,$B71,Scenes!$L$7:$L$142,"Done")</f>
        <v>0</v>
      </c>
      <c r="J71" s="10">
        <f>COUNTIFS(Scenes!$B$7:$B$142,$B71,Scenes!$M$7:$M$142,"Done")</f>
        <v>0</v>
      </c>
      <c r="K71" s="10">
        <f>COUNTIFS(Scenes!$B$7:$B$142,$B71,Scenes!$N$7:$N$142,"Done")</f>
        <v>0</v>
      </c>
      <c r="L71" s="10">
        <f>COUNTIFS(Scenes!$B$7:$B$142,$B71,Scenes!$O$7:$O$142,"Done")</f>
        <v>0</v>
      </c>
      <c r="M71" s="5"/>
    </row>
    <row r="72" spans="1:13" ht="22.05" customHeight="1">
      <c r="A72" s="5" t="s">
        <v>76</v>
      </c>
      <c r="B72" s="5" t="s">
        <v>118</v>
      </c>
      <c r="C72" s="5" t="s">
        <v>119</v>
      </c>
      <c r="D72" s="8">
        <v>1</v>
      </c>
      <c r="E72" s="9">
        <v>37.936</v>
      </c>
      <c r="F72" s="9">
        <v>0</v>
      </c>
      <c r="G72" s="10"/>
      <c r="H72" s="10"/>
      <c r="I72" s="10">
        <f>COUNTIFS(Scenes!$B$7:$B$142,$B72,Scenes!$L$7:$L$142,"Done")</f>
        <v>0</v>
      </c>
      <c r="J72" s="10">
        <f>COUNTIFS(Scenes!$B$7:$B$142,$B72,Scenes!$M$7:$M$142,"Done")</f>
        <v>0</v>
      </c>
      <c r="K72" s="10">
        <f>COUNTIFS(Scenes!$B$7:$B$142,$B72,Scenes!$N$7:$N$142,"Done")</f>
        <v>0</v>
      </c>
      <c r="L72" s="10">
        <f>COUNTIFS(Scenes!$B$7:$B$142,$B72,Scenes!$O$7:$O$142,"Done")</f>
        <v>0</v>
      </c>
      <c r="M72" s="5"/>
    </row>
    <row r="73" spans="1:13" ht="22.05" customHeight="1">
      <c r="A73" s="5" t="s">
        <v>76</v>
      </c>
      <c r="B73" s="5" t="s">
        <v>120</v>
      </c>
      <c r="C73" s="5" t="s">
        <v>121</v>
      </c>
      <c r="D73" s="8">
        <v>2</v>
      </c>
      <c r="E73" s="9">
        <v>42.116</v>
      </c>
      <c r="F73" s="9">
        <v>3.2407407407407406E-4</v>
      </c>
      <c r="G73" s="10"/>
      <c r="H73" s="10"/>
      <c r="I73" s="10">
        <f>COUNTIFS(Scenes!$B$7:$B$142,$B73,Scenes!$L$7:$L$142,"Done")</f>
        <v>0</v>
      </c>
      <c r="J73" s="10">
        <f>COUNTIFS(Scenes!$B$7:$B$142,$B73,Scenes!$M$7:$M$142,"Done")</f>
        <v>0</v>
      </c>
      <c r="K73" s="10">
        <f>COUNTIFS(Scenes!$B$7:$B$142,$B73,Scenes!$N$7:$N$142,"Done")</f>
        <v>0</v>
      </c>
      <c r="L73" s="10">
        <f>COUNTIFS(Scenes!$B$7:$B$142,$B73,Scenes!$O$7:$O$142,"Done")</f>
        <v>0</v>
      </c>
      <c r="M73" s="5"/>
    </row>
    <row r="74" spans="1:13" ht="22.05" customHeight="1">
      <c r="A74" s="5" t="s">
        <v>76</v>
      </c>
      <c r="B74" s="5" t="s">
        <v>122</v>
      </c>
      <c r="C74" s="5" t="s">
        <v>82</v>
      </c>
      <c r="D74" s="8">
        <v>1</v>
      </c>
      <c r="E74" s="9">
        <v>43.134</v>
      </c>
      <c r="F74" s="9">
        <v>0</v>
      </c>
      <c r="G74" s="10"/>
      <c r="H74" s="10"/>
      <c r="I74" s="10">
        <f>COUNTIFS(Scenes!$B$7:$B$142,$B74,Scenes!$L$7:$L$142,"Done")</f>
        <v>0</v>
      </c>
      <c r="J74" s="10">
        <f>COUNTIFS(Scenes!$B$7:$B$142,$B74,Scenes!$M$7:$M$142,"Done")</f>
        <v>0</v>
      </c>
      <c r="K74" s="10">
        <f>COUNTIFS(Scenes!$B$7:$B$142,$B74,Scenes!$N$7:$N$142,"Done")</f>
        <v>0</v>
      </c>
      <c r="L74" s="10">
        <f>COUNTIFS(Scenes!$B$7:$B$142,$B74,Scenes!$O$7:$O$142,"Done")</f>
        <v>0</v>
      </c>
      <c r="M74" s="5"/>
    </row>
    <row r="75" spans="1:13" ht="22.05" customHeight="1">
      <c r="A75" s="5" t="s">
        <v>76</v>
      </c>
      <c r="B75" s="5" t="s">
        <v>123</v>
      </c>
      <c r="C75" s="5" t="s">
        <v>124</v>
      </c>
      <c r="D75" s="8">
        <v>1</v>
      </c>
      <c r="E75" s="9">
        <v>45.121000000000002</v>
      </c>
      <c r="F75" s="9">
        <v>0</v>
      </c>
      <c r="G75" s="10"/>
      <c r="H75" s="10"/>
      <c r="I75" s="10">
        <f>COUNTIFS(Scenes!$B$7:$B$142,$B75,Scenes!$L$7:$L$142,"Done")</f>
        <v>0</v>
      </c>
      <c r="J75" s="10">
        <f>COUNTIFS(Scenes!$B$7:$B$142,$B75,Scenes!$M$7:$M$142,"Done")</f>
        <v>0</v>
      </c>
      <c r="K75" s="10">
        <f>COUNTIFS(Scenes!$B$7:$B$142,$B75,Scenes!$N$7:$N$142,"Done")</f>
        <v>0</v>
      </c>
      <c r="L75" s="10">
        <f>COUNTIFS(Scenes!$B$7:$B$142,$B75,Scenes!$O$7:$O$142,"Done")</f>
        <v>0</v>
      </c>
      <c r="M75" s="5"/>
    </row>
    <row r="76" spans="1:13" ht="22.05" customHeight="1">
      <c r="A76" s="5" t="s">
        <v>76</v>
      </c>
      <c r="B76" s="5" t="s">
        <v>125</v>
      </c>
      <c r="C76" s="5" t="s">
        <v>126</v>
      </c>
      <c r="D76" s="8">
        <v>2</v>
      </c>
      <c r="E76" s="9">
        <v>46.905000000000001</v>
      </c>
      <c r="F76" s="9">
        <v>3.0092592592592595E-4</v>
      </c>
      <c r="G76" s="10"/>
      <c r="H76" s="10"/>
      <c r="I76" s="10">
        <f>COUNTIFS(Scenes!$B$7:$B$142,$B76,Scenes!$L$7:$L$142,"Done")</f>
        <v>0</v>
      </c>
      <c r="J76" s="10">
        <f>COUNTIFS(Scenes!$B$7:$B$142,$B76,Scenes!$M$7:$M$142,"Done")</f>
        <v>0</v>
      </c>
      <c r="K76" s="10">
        <f>COUNTIFS(Scenes!$B$7:$B$142,$B76,Scenes!$N$7:$N$142,"Done")</f>
        <v>0</v>
      </c>
      <c r="L76" s="10">
        <f>COUNTIFS(Scenes!$B$7:$B$142,$B76,Scenes!$O$7:$O$142,"Done")</f>
        <v>0</v>
      </c>
      <c r="M76" s="5"/>
    </row>
    <row r="77" spans="1:13" ht="22.05" customHeight="1">
      <c r="A77" s="5" t="s">
        <v>76</v>
      </c>
      <c r="B77" s="5" t="s">
        <v>127</v>
      </c>
      <c r="C77" s="5" t="s">
        <v>128</v>
      </c>
      <c r="D77" s="8">
        <v>2</v>
      </c>
      <c r="E77" s="9">
        <v>52.716000000000001</v>
      </c>
      <c r="F77" s="9">
        <v>2.8935185185185184E-4</v>
      </c>
      <c r="G77" s="10"/>
      <c r="H77" s="10"/>
      <c r="I77" s="10">
        <f>COUNTIFS(Scenes!$B$7:$B$142,$B77,Scenes!$L$7:$L$142,"Done")</f>
        <v>0</v>
      </c>
      <c r="J77" s="10">
        <f>COUNTIFS(Scenes!$B$7:$B$142,$B77,Scenes!$M$7:$M$142,"Done")</f>
        <v>0</v>
      </c>
      <c r="K77" s="10">
        <f>COUNTIFS(Scenes!$B$7:$B$142,$B77,Scenes!$N$7:$N$142,"Done")</f>
        <v>0</v>
      </c>
      <c r="L77" s="10">
        <f>COUNTIFS(Scenes!$B$7:$B$142,$B77,Scenes!$O$7:$O$142,"Done")</f>
        <v>0</v>
      </c>
      <c r="M77" s="5"/>
    </row>
    <row r="78" spans="1:13" ht="22.05" customHeight="1">
      <c r="A78" s="5" t="s">
        <v>76</v>
      </c>
      <c r="B78" s="5" t="s">
        <v>129</v>
      </c>
      <c r="C78" s="5" t="s">
        <v>91</v>
      </c>
      <c r="D78" s="8">
        <v>2</v>
      </c>
      <c r="E78" s="9">
        <v>56.524999999999999</v>
      </c>
      <c r="F78" s="9">
        <v>5.0056712962962964</v>
      </c>
      <c r="G78" s="10"/>
      <c r="H78" s="10"/>
      <c r="I78" s="10">
        <f>COUNTIFS(Scenes!$B$7:$B$142,$B78,Scenes!$L$7:$L$142,"Done")</f>
        <v>0</v>
      </c>
      <c r="J78" s="10">
        <f>COUNTIFS(Scenes!$B$7:$B$142,$B78,Scenes!$M$7:$M$142,"Done")</f>
        <v>0</v>
      </c>
      <c r="K78" s="10">
        <f>COUNTIFS(Scenes!$B$7:$B$142,$B78,Scenes!$N$7:$N$142,"Done")</f>
        <v>0</v>
      </c>
      <c r="L78" s="10">
        <f>COUNTIFS(Scenes!$B$7:$B$142,$B78,Scenes!$O$7:$O$142,"Done")</f>
        <v>0</v>
      </c>
      <c r="M78" s="5"/>
    </row>
    <row r="79" spans="1:13" ht="22.05" customHeight="1">
      <c r="A79" s="5" t="s">
        <v>76</v>
      </c>
      <c r="B79" s="5" t="s">
        <v>130</v>
      </c>
      <c r="C79" s="5" t="s">
        <v>97</v>
      </c>
      <c r="D79" s="8">
        <v>1</v>
      </c>
      <c r="E79" s="9">
        <v>63.552999999999997</v>
      </c>
      <c r="F79" s="9">
        <v>0</v>
      </c>
      <c r="G79" s="10"/>
      <c r="H79" s="10"/>
      <c r="I79" s="10">
        <f>COUNTIFS(Scenes!$B$7:$B$142,$B79,Scenes!$L$7:$L$142,"Done")</f>
        <v>0</v>
      </c>
      <c r="J79" s="10">
        <f>COUNTIFS(Scenes!$B$7:$B$142,$B79,Scenes!$M$7:$M$142,"Done")</f>
        <v>0</v>
      </c>
      <c r="K79" s="10">
        <f>COUNTIFS(Scenes!$B$7:$B$142,$B79,Scenes!$N$7:$N$142,"Done")</f>
        <v>0</v>
      </c>
      <c r="L79" s="10">
        <f>COUNTIFS(Scenes!$B$7:$B$142,$B79,Scenes!$O$7:$O$142,"Done")</f>
        <v>0</v>
      </c>
      <c r="M79" s="5"/>
    </row>
    <row r="80" spans="1:13" ht="22.05" customHeight="1">
      <c r="A80" s="5" t="s">
        <v>76</v>
      </c>
      <c r="B80" s="5" t="s">
        <v>131</v>
      </c>
      <c r="C80" s="5" t="s">
        <v>103</v>
      </c>
      <c r="D80" s="8">
        <v>2</v>
      </c>
      <c r="E80" s="9">
        <v>63.651000000000003</v>
      </c>
      <c r="F80" s="9">
        <v>2.7777777777777778E-4</v>
      </c>
      <c r="G80" s="10"/>
      <c r="H80" s="10"/>
      <c r="I80" s="10">
        <f>COUNTIFS(Scenes!$B$7:$B$142,$B80,Scenes!$L$7:$L$142,"Done")</f>
        <v>0</v>
      </c>
      <c r="J80" s="10">
        <f>COUNTIFS(Scenes!$B$7:$B$142,$B80,Scenes!$M$7:$M$142,"Done")</f>
        <v>0</v>
      </c>
      <c r="K80" s="10">
        <f>COUNTIFS(Scenes!$B$7:$B$142,$B80,Scenes!$N$7:$N$142,"Done")</f>
        <v>0</v>
      </c>
      <c r="L80" s="10">
        <f>COUNTIFS(Scenes!$B$7:$B$142,$B80,Scenes!$O$7:$O$142,"Done")</f>
        <v>0</v>
      </c>
      <c r="M80" s="5"/>
    </row>
    <row r="81" spans="1:13" ht="22.05" customHeight="1">
      <c r="A81" s="5" t="s">
        <v>76</v>
      </c>
      <c r="B81" s="5" t="s">
        <v>132</v>
      </c>
      <c r="C81" s="5" t="s">
        <v>133</v>
      </c>
      <c r="D81" s="8">
        <v>1</v>
      </c>
      <c r="E81" s="9">
        <v>63.719000000000001</v>
      </c>
      <c r="F81" s="9">
        <v>0</v>
      </c>
      <c r="G81" s="10"/>
      <c r="H81" s="10"/>
      <c r="I81" s="10">
        <f>COUNTIFS(Scenes!$B$7:$B$142,$B81,Scenes!$L$7:$L$142,"Done")</f>
        <v>0</v>
      </c>
      <c r="J81" s="10">
        <f>COUNTIFS(Scenes!$B$7:$B$142,$B81,Scenes!$M$7:$M$142,"Done")</f>
        <v>0</v>
      </c>
      <c r="K81" s="10">
        <f>COUNTIFS(Scenes!$B$7:$B$142,$B81,Scenes!$N$7:$N$142,"Done")</f>
        <v>0</v>
      </c>
      <c r="L81" s="10">
        <f>COUNTIFS(Scenes!$B$7:$B$142,$B81,Scenes!$O$7:$O$142,"Done")</f>
        <v>0</v>
      </c>
      <c r="M81" s="5"/>
    </row>
    <row r="82" spans="1:13" ht="22.05" customHeight="1">
      <c r="A82" s="5" t="s">
        <v>76</v>
      </c>
      <c r="B82" s="5" t="s">
        <v>134</v>
      </c>
      <c r="C82" s="5" t="s">
        <v>97</v>
      </c>
      <c r="D82" s="8">
        <v>2</v>
      </c>
      <c r="E82" s="9">
        <v>63.924999999999997</v>
      </c>
      <c r="F82" s="9">
        <v>2.8935185185185184E-4</v>
      </c>
      <c r="G82" s="10"/>
      <c r="H82" s="10"/>
      <c r="I82" s="10">
        <f>COUNTIFS(Scenes!$B$7:$B$142,$B82,Scenes!$L$7:$L$142,"Done")</f>
        <v>0</v>
      </c>
      <c r="J82" s="10">
        <f>COUNTIFS(Scenes!$B$7:$B$142,$B82,Scenes!$M$7:$M$142,"Done")</f>
        <v>0</v>
      </c>
      <c r="K82" s="10">
        <f>COUNTIFS(Scenes!$B$7:$B$142,$B82,Scenes!$N$7:$N$142,"Done")</f>
        <v>0</v>
      </c>
      <c r="L82" s="10">
        <f>COUNTIFS(Scenes!$B$7:$B$142,$B82,Scenes!$O$7:$O$142,"Done")</f>
        <v>0</v>
      </c>
      <c r="M82" s="5"/>
    </row>
    <row r="83" spans="1:13" ht="22.05" customHeight="1">
      <c r="A83" s="5" t="s">
        <v>76</v>
      </c>
      <c r="B83" s="5" t="s">
        <v>135</v>
      </c>
      <c r="C83" s="5" t="s">
        <v>97</v>
      </c>
      <c r="D83" s="8">
        <v>1</v>
      </c>
      <c r="E83" s="9">
        <v>67.537000000000006</v>
      </c>
      <c r="F83" s="9">
        <v>0</v>
      </c>
      <c r="G83" s="10"/>
      <c r="H83" s="10"/>
      <c r="I83" s="10">
        <f>COUNTIFS(Scenes!$B$7:$B$142,$B83,Scenes!$L$7:$L$142,"Done")</f>
        <v>0</v>
      </c>
      <c r="J83" s="10">
        <f>COUNTIFS(Scenes!$B$7:$B$142,$B83,Scenes!$M$7:$M$142,"Done")</f>
        <v>0</v>
      </c>
      <c r="K83" s="10">
        <f>COUNTIFS(Scenes!$B$7:$B$142,$B83,Scenes!$N$7:$N$142,"Done")</f>
        <v>0</v>
      </c>
      <c r="L83" s="10">
        <f>COUNTIFS(Scenes!$B$7:$B$142,$B83,Scenes!$O$7:$O$142,"Done")</f>
        <v>0</v>
      </c>
      <c r="M83" s="5"/>
    </row>
    <row r="84" spans="1:13" ht="22.05" customHeight="1">
      <c r="A84" s="5" t="s">
        <v>136</v>
      </c>
      <c r="B84" s="5" t="s">
        <v>137</v>
      </c>
      <c r="C84" s="5" t="s">
        <v>138</v>
      </c>
      <c r="D84" s="8">
        <v>3</v>
      </c>
      <c r="E84" s="9">
        <v>4.43</v>
      </c>
      <c r="F84" s="9">
        <v>5.9995717592592595</v>
      </c>
      <c r="G84" s="10" t="s">
        <v>534</v>
      </c>
      <c r="H84" s="10" t="s">
        <v>534</v>
      </c>
      <c r="I84" s="10" t="s">
        <v>534</v>
      </c>
      <c r="J84" s="10" t="s">
        <v>534</v>
      </c>
      <c r="K84" s="10" t="s">
        <v>536</v>
      </c>
      <c r="L84" s="10">
        <f>COUNTIFS(Scenes!$B$7:$B$142,$B84,Scenes!$O$7:$O$142,"Done")</f>
        <v>0</v>
      </c>
      <c r="M84" s="5"/>
    </row>
    <row r="85" spans="1:13" ht="22.05" customHeight="1">
      <c r="A85" s="5" t="s">
        <v>136</v>
      </c>
      <c r="B85" s="5" t="s">
        <v>139</v>
      </c>
      <c r="C85" s="5" t="s">
        <v>140</v>
      </c>
      <c r="D85" s="8">
        <v>1</v>
      </c>
      <c r="E85" s="9">
        <v>15.46</v>
      </c>
      <c r="F85" s="9">
        <v>0</v>
      </c>
      <c r="G85" s="10"/>
      <c r="H85" s="10"/>
      <c r="I85" s="10" t="s">
        <v>537</v>
      </c>
      <c r="J85" s="10">
        <f>COUNTIFS(Scenes!$B$7:$B$142,$B85,Scenes!$M$7:$M$142,"Done")</f>
        <v>0</v>
      </c>
      <c r="K85" s="10">
        <f>COUNTIFS(Scenes!$B$7:$B$142,$B85,Scenes!$N$7:$N$142,"Done")</f>
        <v>0</v>
      </c>
      <c r="L85" s="10">
        <f>COUNTIFS(Scenes!$B$7:$B$142,$B85,Scenes!$O$7:$O$142,"Done")</f>
        <v>0</v>
      </c>
      <c r="M85" s="5"/>
    </row>
    <row r="86" spans="1:13" ht="22.05" customHeight="1">
      <c r="A86" s="5" t="s">
        <v>136</v>
      </c>
      <c r="B86" s="5" t="s">
        <v>141</v>
      </c>
      <c r="C86" s="5" t="s">
        <v>142</v>
      </c>
      <c r="D86" s="8">
        <v>1</v>
      </c>
      <c r="E86" s="9">
        <v>15.51</v>
      </c>
      <c r="F86" s="9">
        <v>0</v>
      </c>
      <c r="G86" s="10"/>
      <c r="H86" s="10"/>
      <c r="I86" s="10" t="s">
        <v>537</v>
      </c>
      <c r="J86" s="10">
        <f>COUNTIFS(Scenes!$B$7:$B$142,$B86,Scenes!$M$7:$M$142,"Done")</f>
        <v>0</v>
      </c>
      <c r="K86" s="10">
        <f>COUNTIFS(Scenes!$B$7:$B$142,$B86,Scenes!$N$7:$N$142,"Done")</f>
        <v>0</v>
      </c>
      <c r="L86" s="10">
        <f>COUNTIFS(Scenes!$B$7:$B$142,$B86,Scenes!$O$7:$O$142,"Done")</f>
        <v>0</v>
      </c>
      <c r="M86" s="5"/>
    </row>
    <row r="87" spans="1:13" ht="22.05" customHeight="1">
      <c r="A87" s="5" t="s">
        <v>136</v>
      </c>
      <c r="B87" s="5" t="s">
        <v>143</v>
      </c>
      <c r="C87" s="5" t="s">
        <v>142</v>
      </c>
      <c r="D87" s="8">
        <v>2</v>
      </c>
      <c r="E87" s="9">
        <v>17.16</v>
      </c>
      <c r="F87" s="9">
        <v>5.0056250000000002</v>
      </c>
      <c r="G87" s="10"/>
      <c r="H87" s="10"/>
      <c r="I87" s="10" t="s">
        <v>537</v>
      </c>
      <c r="J87" s="10">
        <f>COUNTIFS(Scenes!$B$7:$B$142,$B87,Scenes!$M$7:$M$142,"Done")</f>
        <v>0</v>
      </c>
      <c r="K87" s="10">
        <f>COUNTIFS(Scenes!$B$7:$B$142,$B87,Scenes!$N$7:$N$142,"Done")</f>
        <v>0</v>
      </c>
      <c r="L87" s="10">
        <f>COUNTIFS(Scenes!$B$7:$B$142,$B87,Scenes!$O$7:$O$142,"Done")</f>
        <v>0</v>
      </c>
      <c r="M87" s="5"/>
    </row>
    <row r="88" spans="1:13" ht="22.05" customHeight="1">
      <c r="A88" s="5" t="s">
        <v>136</v>
      </c>
      <c r="B88" s="5" t="s">
        <v>144</v>
      </c>
      <c r="C88" s="5" t="s">
        <v>140</v>
      </c>
      <c r="D88" s="8">
        <v>2</v>
      </c>
      <c r="E88" s="9">
        <v>57.41</v>
      </c>
      <c r="F88" s="9">
        <v>5.0056018518518517</v>
      </c>
      <c r="G88" s="10"/>
      <c r="H88" s="10"/>
      <c r="I88" s="10" t="s">
        <v>537</v>
      </c>
      <c r="J88" s="10">
        <f>COUNTIFS(Scenes!$B$7:$B$142,$B88,Scenes!$M$7:$M$142,"Done")</f>
        <v>0</v>
      </c>
      <c r="K88" s="10">
        <f>COUNTIFS(Scenes!$B$7:$B$142,$B88,Scenes!$N$7:$N$142,"Done")</f>
        <v>0</v>
      </c>
      <c r="L88" s="10">
        <f>COUNTIFS(Scenes!$B$7:$B$142,$B88,Scenes!$O$7:$O$142,"Done")</f>
        <v>0</v>
      </c>
      <c r="M88" s="5"/>
    </row>
    <row r="89" spans="1:13" ht="22.05" customHeight="1">
      <c r="A89" s="5" t="s">
        <v>136</v>
      </c>
      <c r="B89" s="5" t="s">
        <v>145</v>
      </c>
      <c r="C89" s="5" t="s">
        <v>138</v>
      </c>
      <c r="D89" s="8">
        <v>1</v>
      </c>
      <c r="E89" s="9">
        <v>67.209999999999994</v>
      </c>
      <c r="F89" s="9">
        <v>0</v>
      </c>
      <c r="G89" s="10"/>
      <c r="H89" s="10"/>
      <c r="I89" s="10" t="s">
        <v>537</v>
      </c>
      <c r="J89" s="10">
        <f>COUNTIFS(Scenes!$B$7:$B$142,$B89,Scenes!$M$7:$M$142,"Done")</f>
        <v>0</v>
      </c>
      <c r="K89" s="10">
        <f>COUNTIFS(Scenes!$B$7:$B$142,$B89,Scenes!$N$7:$N$142,"Done")</f>
        <v>0</v>
      </c>
      <c r="L89" s="10">
        <f>COUNTIFS(Scenes!$B$7:$B$142,$B89,Scenes!$O$7:$O$142,"Done")</f>
        <v>0</v>
      </c>
      <c r="M89" s="5"/>
    </row>
    <row r="90" spans="1:13" ht="22.05" customHeight="1">
      <c r="A90" s="5" t="s">
        <v>136</v>
      </c>
      <c r="B90" s="5" t="s">
        <v>146</v>
      </c>
      <c r="C90" s="5" t="s">
        <v>138</v>
      </c>
      <c r="D90" s="8">
        <v>2</v>
      </c>
      <c r="E90" s="9">
        <v>81.03</v>
      </c>
      <c r="F90" s="9">
        <v>2.4462615740740739</v>
      </c>
      <c r="G90" s="10"/>
      <c r="H90" s="10"/>
      <c r="I90" s="10" t="s">
        <v>537</v>
      </c>
      <c r="J90" s="10">
        <f>COUNTIFS(Scenes!$B$7:$B$142,$B90,Scenes!$M$7:$M$142,"Done")</f>
        <v>0</v>
      </c>
      <c r="K90" s="10">
        <f>COUNTIFS(Scenes!$B$7:$B$142,$B90,Scenes!$N$7:$N$142,"Done")</f>
        <v>0</v>
      </c>
      <c r="L90" s="10">
        <f>COUNTIFS(Scenes!$B$7:$B$142,$B90,Scenes!$O$7:$O$142,"Done")</f>
        <v>0</v>
      </c>
      <c r="M90" s="5"/>
    </row>
    <row r="91" spans="1:13" ht="22.05" customHeight="1">
      <c r="A91" s="5" t="s">
        <v>136</v>
      </c>
      <c r="B91" s="5" t="s">
        <v>147</v>
      </c>
      <c r="C91" s="5" t="s">
        <v>138</v>
      </c>
      <c r="D91" s="8">
        <v>1</v>
      </c>
      <c r="E91" s="9">
        <v>206.48</v>
      </c>
      <c r="F91" s="9">
        <v>0</v>
      </c>
      <c r="G91" s="10"/>
      <c r="H91" s="10"/>
      <c r="I91" s="10" t="s">
        <v>537</v>
      </c>
      <c r="J91" s="10">
        <f>COUNTIFS(Scenes!$B$7:$B$142,$B91,Scenes!$M$7:$M$142,"Done")</f>
        <v>0</v>
      </c>
      <c r="K91" s="10">
        <f>COUNTIFS(Scenes!$B$7:$B$142,$B91,Scenes!$N$7:$N$142,"Done")</f>
        <v>0</v>
      </c>
      <c r="L91" s="10">
        <f>COUNTIFS(Scenes!$B$7:$B$142,$B91,Scenes!$O$7:$O$142,"Done")</f>
        <v>0</v>
      </c>
      <c r="M91" s="5"/>
    </row>
    <row r="92" spans="1:13" ht="22.05" customHeight="1">
      <c r="A92" s="5" t="s">
        <v>136</v>
      </c>
      <c r="B92" s="5" t="s">
        <v>148</v>
      </c>
      <c r="C92" s="5" t="s">
        <v>142</v>
      </c>
      <c r="D92" s="8">
        <v>1</v>
      </c>
      <c r="E92" s="9">
        <v>272.45</v>
      </c>
      <c r="F92" s="9">
        <v>0</v>
      </c>
      <c r="G92" s="10"/>
      <c r="H92" s="10"/>
      <c r="I92" s="10" t="s">
        <v>537</v>
      </c>
      <c r="J92" s="10">
        <f>COUNTIFS(Scenes!$B$7:$B$142,$B92,Scenes!$M$7:$M$142,"Done")</f>
        <v>0</v>
      </c>
      <c r="K92" s="10">
        <f>COUNTIFS(Scenes!$B$7:$B$142,$B92,Scenes!$N$7:$N$142,"Done")</f>
        <v>0</v>
      </c>
      <c r="L92" s="10">
        <f>COUNTIFS(Scenes!$B$7:$B$142,$B92,Scenes!$O$7:$O$142,"Done")</f>
        <v>0</v>
      </c>
      <c r="M92" s="5"/>
    </row>
    <row r="94" spans="1: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</sheetData>
  <conditionalFormatting sqref="G7:H92 H50:J50 G51:J51">
    <cfRule type="containsText" dxfId="6" priority="3" operator="containsText" text="Y">
      <formula>NOT(ISERROR(SEARCH("Y",G7)))</formula>
    </cfRule>
  </conditionalFormatting>
  <conditionalFormatting sqref="G7:L92">
    <cfRule type="containsText" dxfId="5" priority="1" operator="containsText" text="P">
      <formula>NOT(ISERROR(SEARCH("P",G7)))</formula>
    </cfRule>
    <cfRule type="containsText" dxfId="4" priority="2" operator="containsText" text="Y">
      <formula>NOT(ISERROR(SEARCH("Y",G7)))</formula>
    </cfRule>
  </conditionalFormatting>
  <conditionalFormatting sqref="I7:K7 I9:K9 I11:K11 I13:K13 I15:K15 I17:K17">
    <cfRule type="containsText" dxfId="3" priority="9" operator="containsText" text="Y">
      <formula>NOT(ISERROR(SEARCH("Y",I7)))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66E9A"/>
  </sheetPr>
  <dimension ref="A2:O142"/>
  <sheetViews>
    <sheetView showGridLines="0" workbookViewId="0">
      <pane ySplit="6" topLeftCell="A74" activePane="bottomLeft" state="frozen"/>
      <selection pane="bottomLeft"/>
    </sheetView>
  </sheetViews>
  <sheetFormatPr defaultRowHeight="13.8"/>
  <cols>
    <col min="1" max="1" width="19" customWidth="1"/>
    <col min="2" max="2" width="43" customWidth="1"/>
    <col min="3" max="3" width="38" customWidth="1"/>
    <col min="4" max="4" width="21" customWidth="1"/>
    <col min="5" max="5" width="16" customWidth="1"/>
    <col min="6" max="6" width="18" customWidth="1"/>
    <col min="7" max="7" width="23" customWidth="1"/>
    <col min="8" max="8" width="48" customWidth="1"/>
    <col min="9" max="9" width="79" customWidth="1"/>
    <col min="10" max="10" width="48" customWidth="1"/>
    <col min="11" max="11" width="66" customWidth="1"/>
    <col min="12" max="15" width="18" customWidth="1"/>
  </cols>
  <sheetData>
    <row r="2" spans="1:15" ht="27" customHeight="1">
      <c r="A2" s="1" t="s">
        <v>149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3" t="s">
        <v>150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15" ht="31.95" customHeight="1">
      <c r="A6" s="4" t="s">
        <v>1</v>
      </c>
      <c r="B6" s="4" t="s">
        <v>2</v>
      </c>
      <c r="C6" s="4" t="s">
        <v>3</v>
      </c>
      <c r="D6" s="4" t="s">
        <v>151</v>
      </c>
      <c r="E6" s="4" t="s">
        <v>152</v>
      </c>
      <c r="F6" s="4" t="s">
        <v>153</v>
      </c>
      <c r="G6" s="4" t="s">
        <v>154</v>
      </c>
      <c r="H6" s="4" t="s">
        <v>155</v>
      </c>
      <c r="I6" s="4" t="s">
        <v>156</v>
      </c>
      <c r="J6" s="4" t="s">
        <v>157</v>
      </c>
      <c r="K6" s="4" t="s">
        <v>11</v>
      </c>
      <c r="L6" s="4" t="s">
        <v>7</v>
      </c>
      <c r="M6" s="4" t="s">
        <v>8</v>
      </c>
      <c r="N6" s="4" t="s">
        <v>9</v>
      </c>
      <c r="O6" s="4" t="s">
        <v>10</v>
      </c>
    </row>
    <row r="7" spans="1:15" ht="22.05" customHeight="1">
      <c r="A7" s="5" t="s">
        <v>12</v>
      </c>
      <c r="B7" s="5" t="s">
        <v>13</v>
      </c>
      <c r="C7" s="5" t="s">
        <v>14</v>
      </c>
      <c r="D7" s="5" t="s">
        <v>158</v>
      </c>
      <c r="E7" s="6">
        <v>-3.98</v>
      </c>
      <c r="F7" s="6">
        <v>3.98</v>
      </c>
      <c r="G7" s="5" t="s">
        <v>159</v>
      </c>
      <c r="H7" s="5" t="s">
        <v>160</v>
      </c>
      <c r="I7" s="5" t="s">
        <v>161</v>
      </c>
      <c r="J7" s="5" t="s">
        <v>162</v>
      </c>
      <c r="K7" s="5"/>
      <c r="L7" s="7"/>
      <c r="M7" s="7"/>
      <c r="N7" s="7"/>
      <c r="O7" s="7"/>
    </row>
    <row r="8" spans="1:15" ht="22.05" customHeight="1">
      <c r="A8" s="5" t="s">
        <v>12</v>
      </c>
      <c r="B8" s="5" t="s">
        <v>15</v>
      </c>
      <c r="C8" s="5" t="s">
        <v>16</v>
      </c>
      <c r="D8" s="5" t="s">
        <v>163</v>
      </c>
      <c r="E8" s="6">
        <v>-4.3499999999999996</v>
      </c>
      <c r="F8" s="6">
        <v>4.3499999999999996</v>
      </c>
      <c r="G8" s="5" t="s">
        <v>159</v>
      </c>
      <c r="H8" s="5" t="s">
        <v>164</v>
      </c>
      <c r="I8" s="5" t="s">
        <v>165</v>
      </c>
      <c r="J8" s="5" t="s">
        <v>159</v>
      </c>
      <c r="K8" s="5"/>
      <c r="L8" s="7"/>
      <c r="M8" s="7"/>
      <c r="N8" s="7"/>
      <c r="O8" s="7"/>
    </row>
    <row r="9" spans="1:15" ht="22.05" customHeight="1">
      <c r="A9" s="5" t="s">
        <v>12</v>
      </c>
      <c r="B9" s="5" t="s">
        <v>15</v>
      </c>
      <c r="C9" s="5" t="s">
        <v>16</v>
      </c>
      <c r="D9" s="5" t="s">
        <v>166</v>
      </c>
      <c r="E9" s="6">
        <v>7.54</v>
      </c>
      <c r="F9" s="6">
        <v>7.54</v>
      </c>
      <c r="G9" s="5" t="s">
        <v>159</v>
      </c>
      <c r="H9" s="5" t="s">
        <v>164</v>
      </c>
      <c r="I9" s="5" t="s">
        <v>167</v>
      </c>
      <c r="J9" s="5" t="s">
        <v>159</v>
      </c>
      <c r="K9" s="5"/>
      <c r="L9" s="7"/>
      <c r="M9" s="7"/>
      <c r="N9" s="7"/>
      <c r="O9" s="7"/>
    </row>
    <row r="10" spans="1:15" ht="22.05" customHeight="1">
      <c r="A10" s="5" t="s">
        <v>12</v>
      </c>
      <c r="B10" s="5" t="s">
        <v>17</v>
      </c>
      <c r="C10" s="5" t="s">
        <v>18</v>
      </c>
      <c r="D10" s="5" t="s">
        <v>168</v>
      </c>
      <c r="E10" s="6">
        <v>-4.4050000000000002</v>
      </c>
      <c r="F10" s="6">
        <v>4.4050000000000002</v>
      </c>
      <c r="G10" s="5" t="s">
        <v>169</v>
      </c>
      <c r="H10" s="5" t="s">
        <v>170</v>
      </c>
      <c r="I10" s="5" t="s">
        <v>171</v>
      </c>
      <c r="J10" s="5" t="s">
        <v>172</v>
      </c>
      <c r="K10" s="5" t="s">
        <v>173</v>
      </c>
      <c r="L10" s="7"/>
      <c r="M10" s="7"/>
      <c r="N10" s="7"/>
      <c r="O10" s="7"/>
    </row>
    <row r="11" spans="1:15" ht="22.05" customHeight="1">
      <c r="A11" s="5" t="s">
        <v>12</v>
      </c>
      <c r="B11" s="5" t="s">
        <v>17</v>
      </c>
      <c r="C11" s="5" t="s">
        <v>18</v>
      </c>
      <c r="D11" s="5" t="s">
        <v>174</v>
      </c>
      <c r="E11" s="6">
        <v>-4.4119999999999999</v>
      </c>
      <c r="F11" s="6">
        <v>4.4119999999999999</v>
      </c>
      <c r="G11" s="5" t="s">
        <v>169</v>
      </c>
      <c r="H11" s="5" t="s">
        <v>170</v>
      </c>
      <c r="I11" s="5" t="s">
        <v>175</v>
      </c>
      <c r="J11" s="5" t="s">
        <v>172</v>
      </c>
      <c r="K11" s="5" t="s">
        <v>173</v>
      </c>
      <c r="L11" s="7"/>
      <c r="M11" s="7"/>
      <c r="N11" s="7"/>
      <c r="O11" s="7"/>
    </row>
    <row r="12" spans="1:15" ht="22.05" customHeight="1">
      <c r="A12" s="5" t="s">
        <v>12</v>
      </c>
      <c r="B12" s="5" t="s">
        <v>17</v>
      </c>
      <c r="C12" s="5" t="s">
        <v>18</v>
      </c>
      <c r="D12" s="5" t="s">
        <v>176</v>
      </c>
      <c r="E12" s="6">
        <v>8.0730000000000004</v>
      </c>
      <c r="F12" s="6">
        <v>8.0730000000000004</v>
      </c>
      <c r="G12" s="5" t="s">
        <v>169</v>
      </c>
      <c r="H12" s="5" t="s">
        <v>177</v>
      </c>
      <c r="I12" s="5" t="s">
        <v>178</v>
      </c>
      <c r="J12" s="5" t="s">
        <v>169</v>
      </c>
      <c r="K12" s="5" t="s">
        <v>179</v>
      </c>
      <c r="L12" s="7"/>
      <c r="M12" s="7"/>
      <c r="N12" s="7"/>
      <c r="O12" s="7"/>
    </row>
    <row r="13" spans="1:15" ht="22.05" customHeight="1">
      <c r="A13" s="5" t="s">
        <v>12</v>
      </c>
      <c r="B13" s="5" t="s">
        <v>19</v>
      </c>
      <c r="C13" s="5" t="s">
        <v>20</v>
      </c>
      <c r="D13" s="5" t="s">
        <v>180</v>
      </c>
      <c r="E13" s="6">
        <v>-15.69</v>
      </c>
      <c r="F13" s="6">
        <v>15.69</v>
      </c>
      <c r="G13" s="5" t="s">
        <v>159</v>
      </c>
      <c r="H13" s="5" t="s">
        <v>181</v>
      </c>
      <c r="I13" s="5" t="s">
        <v>182</v>
      </c>
      <c r="J13" s="5" t="s">
        <v>183</v>
      </c>
      <c r="K13" s="5"/>
      <c r="L13" s="7"/>
      <c r="M13" s="7"/>
      <c r="N13" s="7"/>
      <c r="O13" s="7"/>
    </row>
    <row r="14" spans="1:15" ht="22.05" customHeight="1">
      <c r="A14" s="5" t="s">
        <v>12</v>
      </c>
      <c r="B14" s="5" t="s">
        <v>19</v>
      </c>
      <c r="C14" s="5" t="s">
        <v>20</v>
      </c>
      <c r="D14" s="5" t="s">
        <v>184</v>
      </c>
      <c r="E14" s="6">
        <v>128.30000000000001</v>
      </c>
      <c r="F14" s="6">
        <v>128.30000000000001</v>
      </c>
      <c r="G14" s="5" t="s">
        <v>159</v>
      </c>
      <c r="H14" s="5" t="s">
        <v>181</v>
      </c>
      <c r="I14" s="5" t="s">
        <v>185</v>
      </c>
      <c r="J14" s="5" t="s">
        <v>159</v>
      </c>
      <c r="K14" s="5"/>
      <c r="L14" s="7"/>
      <c r="M14" s="7"/>
      <c r="N14" s="7"/>
      <c r="O14" s="7"/>
    </row>
    <row r="15" spans="1:15" ht="22.05" customHeight="1">
      <c r="A15" s="5" t="s">
        <v>12</v>
      </c>
      <c r="B15" s="5" t="s">
        <v>21</v>
      </c>
      <c r="C15" s="5" t="s">
        <v>20</v>
      </c>
      <c r="D15" s="5" t="s">
        <v>186</v>
      </c>
      <c r="E15" s="6">
        <v>-15.84</v>
      </c>
      <c r="F15" s="6">
        <v>15.84</v>
      </c>
      <c r="G15" s="5" t="s">
        <v>159</v>
      </c>
      <c r="H15" s="5" t="s">
        <v>187</v>
      </c>
      <c r="I15" s="5" t="s">
        <v>188</v>
      </c>
      <c r="J15" s="5" t="s">
        <v>189</v>
      </c>
      <c r="K15" s="5"/>
      <c r="L15" s="7"/>
      <c r="M15" s="7"/>
      <c r="N15" s="7"/>
      <c r="O15" s="7"/>
    </row>
    <row r="16" spans="1:15" ht="22.05" customHeight="1">
      <c r="A16" s="5" t="s">
        <v>12</v>
      </c>
      <c r="B16" s="5" t="s">
        <v>21</v>
      </c>
      <c r="C16" s="5" t="s">
        <v>20</v>
      </c>
      <c r="D16" s="5" t="s">
        <v>190</v>
      </c>
      <c r="E16" s="6">
        <v>80.150000000000006</v>
      </c>
      <c r="F16" s="6">
        <v>80.150000000000006</v>
      </c>
      <c r="G16" s="5" t="s">
        <v>159</v>
      </c>
      <c r="H16" s="5" t="s">
        <v>191</v>
      </c>
      <c r="I16" s="5" t="s">
        <v>192</v>
      </c>
      <c r="J16" s="5" t="s">
        <v>193</v>
      </c>
      <c r="K16" s="5"/>
      <c r="L16" s="7"/>
      <c r="M16" s="7"/>
      <c r="N16" s="7"/>
      <c r="O16" s="7"/>
    </row>
    <row r="17" spans="1:15" ht="22.05" customHeight="1">
      <c r="A17" s="5" t="s">
        <v>12</v>
      </c>
      <c r="B17" s="5" t="s">
        <v>22</v>
      </c>
      <c r="C17" s="5" t="s">
        <v>20</v>
      </c>
      <c r="D17" s="5" t="s">
        <v>194</v>
      </c>
      <c r="E17" s="6">
        <v>-39.700000000000003</v>
      </c>
      <c r="F17" s="6">
        <v>39.700000000000003</v>
      </c>
      <c r="G17" s="5" t="s">
        <v>159</v>
      </c>
      <c r="H17" s="5" t="s">
        <v>195</v>
      </c>
      <c r="I17" s="5" t="s">
        <v>196</v>
      </c>
      <c r="J17" s="5" t="s">
        <v>189</v>
      </c>
      <c r="K17" s="5"/>
      <c r="L17" s="7"/>
      <c r="M17" s="7"/>
      <c r="N17" s="7"/>
      <c r="O17" s="7"/>
    </row>
    <row r="18" spans="1:15" ht="22.05" customHeight="1">
      <c r="A18" s="5" t="s">
        <v>12</v>
      </c>
      <c r="B18" s="5" t="s">
        <v>22</v>
      </c>
      <c r="C18" s="5" t="s">
        <v>20</v>
      </c>
      <c r="D18" s="5" t="s">
        <v>197</v>
      </c>
      <c r="E18" s="6">
        <v>-63.71</v>
      </c>
      <c r="F18" s="6">
        <v>63.71</v>
      </c>
      <c r="G18" s="5" t="s">
        <v>159</v>
      </c>
      <c r="H18" s="5" t="s">
        <v>198</v>
      </c>
      <c r="I18" s="5" t="s">
        <v>199</v>
      </c>
      <c r="J18" s="5" t="s">
        <v>189</v>
      </c>
      <c r="K18" s="5"/>
      <c r="L18" s="7"/>
      <c r="M18" s="7"/>
      <c r="N18" s="7"/>
      <c r="O18" s="7"/>
    </row>
    <row r="19" spans="1:15" ht="22.05" customHeight="1">
      <c r="A19" s="5" t="s">
        <v>12</v>
      </c>
      <c r="B19" s="5" t="s">
        <v>23</v>
      </c>
      <c r="C19" s="5" t="s">
        <v>14</v>
      </c>
      <c r="D19" s="5" t="s">
        <v>200</v>
      </c>
      <c r="E19" s="6">
        <v>-170.6</v>
      </c>
      <c r="F19" s="6">
        <v>170.6</v>
      </c>
      <c r="G19" s="5" t="s">
        <v>159</v>
      </c>
      <c r="H19" s="5" t="s">
        <v>201</v>
      </c>
      <c r="I19" s="5" t="s">
        <v>202</v>
      </c>
      <c r="J19" s="5" t="s">
        <v>159</v>
      </c>
      <c r="K19" s="5"/>
      <c r="L19" s="7"/>
      <c r="M19" s="7"/>
      <c r="N19" s="7"/>
      <c r="O19" s="7"/>
    </row>
    <row r="20" spans="1:15" ht="22.05" customHeight="1">
      <c r="A20" s="5" t="s">
        <v>12</v>
      </c>
      <c r="B20" s="5" t="s">
        <v>24</v>
      </c>
      <c r="C20" s="5" t="s">
        <v>14</v>
      </c>
      <c r="D20" s="5" t="s">
        <v>203</v>
      </c>
      <c r="E20" s="6">
        <v>284.02</v>
      </c>
      <c r="F20" s="6">
        <v>284.02</v>
      </c>
      <c r="G20" s="5" t="s">
        <v>159</v>
      </c>
      <c r="H20" s="5" t="s">
        <v>160</v>
      </c>
      <c r="I20" s="5" t="s">
        <v>204</v>
      </c>
      <c r="J20" s="5" t="s">
        <v>159</v>
      </c>
      <c r="K20" s="5"/>
      <c r="L20" s="7"/>
      <c r="M20" s="7"/>
      <c r="N20" s="7"/>
      <c r="O20" s="7"/>
    </row>
    <row r="21" spans="1:15" ht="22.05" customHeight="1">
      <c r="A21" s="5" t="s">
        <v>25</v>
      </c>
      <c r="B21" s="5" t="s">
        <v>26</v>
      </c>
      <c r="C21" s="5" t="s">
        <v>27</v>
      </c>
      <c r="D21" s="5" t="s">
        <v>205</v>
      </c>
      <c r="E21" s="6">
        <v>-4.3719999999999999</v>
      </c>
      <c r="F21" s="6">
        <v>4.3719999999999999</v>
      </c>
      <c r="G21" s="5" t="s">
        <v>25</v>
      </c>
      <c r="H21" s="5" t="s">
        <v>206</v>
      </c>
      <c r="I21" s="5" t="s">
        <v>207</v>
      </c>
      <c r="J21" s="5" t="s">
        <v>25</v>
      </c>
      <c r="K21" s="5"/>
      <c r="L21" s="7"/>
      <c r="M21" s="7"/>
      <c r="N21" s="7"/>
      <c r="O21" s="7"/>
    </row>
    <row r="22" spans="1:15" ht="22.05" customHeight="1">
      <c r="A22" s="5" t="s">
        <v>25</v>
      </c>
      <c r="B22" s="5" t="s">
        <v>26</v>
      </c>
      <c r="C22" s="5" t="s">
        <v>27</v>
      </c>
      <c r="D22" s="5" t="s">
        <v>208</v>
      </c>
      <c r="E22" s="6">
        <v>-4.3789999999999996</v>
      </c>
      <c r="F22" s="6">
        <v>4.3789999999999996</v>
      </c>
      <c r="G22" s="5" t="s">
        <v>25</v>
      </c>
      <c r="H22" s="5" t="s">
        <v>206</v>
      </c>
      <c r="I22" s="5" t="s">
        <v>209</v>
      </c>
      <c r="J22" s="5" t="s">
        <v>25</v>
      </c>
      <c r="K22" s="5"/>
      <c r="L22" s="7"/>
      <c r="M22" s="7"/>
      <c r="N22" s="7"/>
      <c r="O22" s="7"/>
    </row>
    <row r="23" spans="1:15" ht="22.05" customHeight="1">
      <c r="A23" s="5" t="s">
        <v>25</v>
      </c>
      <c r="B23" s="5" t="s">
        <v>28</v>
      </c>
      <c r="C23" s="5" t="s">
        <v>29</v>
      </c>
      <c r="D23" s="5" t="s">
        <v>210</v>
      </c>
      <c r="E23" s="6">
        <v>-4.4950000000000001</v>
      </c>
      <c r="F23" s="6">
        <v>4.4950000000000001</v>
      </c>
      <c r="G23" s="5" t="s">
        <v>25</v>
      </c>
      <c r="H23" s="5" t="s">
        <v>211</v>
      </c>
      <c r="I23" s="5" t="s">
        <v>212</v>
      </c>
      <c r="J23" s="5" t="s">
        <v>25</v>
      </c>
      <c r="K23" s="5"/>
      <c r="L23" s="7"/>
      <c r="M23" s="7"/>
      <c r="N23" s="7"/>
      <c r="O23" s="7"/>
    </row>
    <row r="24" spans="1:15" ht="22.05" customHeight="1">
      <c r="A24" s="5" t="s">
        <v>25</v>
      </c>
      <c r="B24" s="5" t="s">
        <v>30</v>
      </c>
      <c r="C24" s="5" t="s">
        <v>31</v>
      </c>
      <c r="D24" s="5" t="s">
        <v>213</v>
      </c>
      <c r="E24" s="6">
        <v>-4.6529999999999996</v>
      </c>
      <c r="F24" s="6">
        <v>4.6529999999999996</v>
      </c>
      <c r="G24" s="5" t="s">
        <v>25</v>
      </c>
      <c r="H24" s="5" t="s">
        <v>214</v>
      </c>
      <c r="I24" s="5" t="s">
        <v>215</v>
      </c>
      <c r="J24" s="5" t="s">
        <v>25</v>
      </c>
      <c r="K24" s="5"/>
      <c r="L24" s="7"/>
      <c r="M24" s="7"/>
      <c r="N24" s="7"/>
      <c r="O24" s="7"/>
    </row>
    <row r="25" spans="1:15" ht="22.05" customHeight="1">
      <c r="A25" s="5" t="s">
        <v>25</v>
      </c>
      <c r="B25" s="5" t="s">
        <v>30</v>
      </c>
      <c r="C25" s="5" t="s">
        <v>31</v>
      </c>
      <c r="D25" s="5" t="s">
        <v>216</v>
      </c>
      <c r="E25" s="6">
        <v>55.579000000000001</v>
      </c>
      <c r="F25" s="6">
        <v>55.579000000000001</v>
      </c>
      <c r="G25" s="5" t="s">
        <v>25</v>
      </c>
      <c r="H25" s="5" t="s">
        <v>214</v>
      </c>
      <c r="I25" s="5" t="s">
        <v>217</v>
      </c>
      <c r="J25" s="5" t="s">
        <v>25</v>
      </c>
      <c r="K25" s="5"/>
      <c r="L25" s="7"/>
      <c r="M25" s="7"/>
      <c r="N25" s="7"/>
      <c r="O25" s="7"/>
    </row>
    <row r="26" spans="1:15" ht="22.05" customHeight="1">
      <c r="A26" s="5" t="s">
        <v>25</v>
      </c>
      <c r="B26" s="5" t="s">
        <v>32</v>
      </c>
      <c r="C26" s="5" t="s">
        <v>33</v>
      </c>
      <c r="D26" s="5" t="s">
        <v>218</v>
      </c>
      <c r="E26" s="6">
        <v>6.4909999999999997</v>
      </c>
      <c r="F26" s="6">
        <v>6.4909999999999997</v>
      </c>
      <c r="G26" s="5" t="s">
        <v>25</v>
      </c>
      <c r="H26" s="5" t="s">
        <v>219</v>
      </c>
      <c r="I26" s="5" t="s">
        <v>220</v>
      </c>
      <c r="J26" s="5" t="s">
        <v>25</v>
      </c>
      <c r="K26" s="5"/>
      <c r="L26" s="7"/>
      <c r="M26" s="7"/>
      <c r="N26" s="7"/>
      <c r="O26" s="7"/>
    </row>
    <row r="27" spans="1:15" ht="22.05" customHeight="1">
      <c r="A27" s="5" t="s">
        <v>25</v>
      </c>
      <c r="B27" s="5" t="s">
        <v>32</v>
      </c>
      <c r="C27" s="5" t="s">
        <v>33</v>
      </c>
      <c r="D27" s="5" t="s">
        <v>221</v>
      </c>
      <c r="E27" s="6">
        <v>-17.387</v>
      </c>
      <c r="F27" s="6">
        <v>17.387</v>
      </c>
      <c r="G27" s="5" t="s">
        <v>25</v>
      </c>
      <c r="H27" s="5" t="s">
        <v>219</v>
      </c>
      <c r="I27" s="5" t="s">
        <v>222</v>
      </c>
      <c r="J27" s="5" t="s">
        <v>25</v>
      </c>
      <c r="K27" s="5"/>
      <c r="L27" s="7"/>
      <c r="M27" s="7"/>
      <c r="N27" s="7"/>
      <c r="O27" s="7"/>
    </row>
    <row r="28" spans="1:15" ht="22.05" customHeight="1">
      <c r="A28" s="5" t="s">
        <v>25</v>
      </c>
      <c r="B28" s="5" t="s">
        <v>34</v>
      </c>
      <c r="C28" s="5" t="s">
        <v>31</v>
      </c>
      <c r="D28" s="5" t="s">
        <v>223</v>
      </c>
      <c r="E28" s="6">
        <v>7.577</v>
      </c>
      <c r="F28" s="6">
        <v>7.577</v>
      </c>
      <c r="G28" s="5" t="s">
        <v>25</v>
      </c>
      <c r="H28" s="5" t="s">
        <v>224</v>
      </c>
      <c r="I28" s="5" t="s">
        <v>225</v>
      </c>
      <c r="J28" s="5" t="s">
        <v>25</v>
      </c>
      <c r="K28" s="5"/>
      <c r="L28" s="7"/>
      <c r="M28" s="7"/>
      <c r="N28" s="7"/>
      <c r="O28" s="7"/>
    </row>
    <row r="29" spans="1:15" ht="22.05" customHeight="1">
      <c r="A29" s="5" t="s">
        <v>25</v>
      </c>
      <c r="B29" s="5" t="s">
        <v>35</v>
      </c>
      <c r="C29" s="5" t="s">
        <v>31</v>
      </c>
      <c r="D29" s="5" t="s">
        <v>226</v>
      </c>
      <c r="E29" s="6">
        <v>7.58</v>
      </c>
      <c r="F29" s="6">
        <v>7.58</v>
      </c>
      <c r="G29" s="5" t="s">
        <v>25</v>
      </c>
      <c r="H29" s="5" t="s">
        <v>227</v>
      </c>
      <c r="I29" s="5" t="s">
        <v>228</v>
      </c>
      <c r="J29" s="5" t="s">
        <v>25</v>
      </c>
      <c r="K29" s="5"/>
      <c r="L29" s="7"/>
      <c r="M29" s="7"/>
      <c r="N29" s="7"/>
      <c r="O29" s="7"/>
    </row>
    <row r="30" spans="1:15" ht="22.05" customHeight="1">
      <c r="A30" s="5" t="s">
        <v>25</v>
      </c>
      <c r="B30" s="5" t="s">
        <v>36</v>
      </c>
      <c r="C30" s="5" t="s">
        <v>37</v>
      </c>
      <c r="D30" s="5" t="s">
        <v>229</v>
      </c>
      <c r="E30" s="6">
        <v>7.7649999999999997</v>
      </c>
      <c r="F30" s="6">
        <v>7.7649999999999997</v>
      </c>
      <c r="G30" s="5" t="s">
        <v>25</v>
      </c>
      <c r="H30" s="5" t="s">
        <v>230</v>
      </c>
      <c r="I30" s="5" t="s">
        <v>231</v>
      </c>
      <c r="J30" s="5" t="s">
        <v>25</v>
      </c>
      <c r="K30" s="5"/>
      <c r="L30" s="7"/>
      <c r="M30" s="7"/>
      <c r="N30" s="7"/>
      <c r="O30" s="7"/>
    </row>
    <row r="31" spans="1:15" ht="22.05" customHeight="1">
      <c r="A31" s="5" t="s">
        <v>25</v>
      </c>
      <c r="B31" s="5" t="s">
        <v>38</v>
      </c>
      <c r="C31" s="5" t="s">
        <v>27</v>
      </c>
      <c r="D31" s="5" t="s">
        <v>232</v>
      </c>
      <c r="E31" s="6">
        <v>7.9550000000000001</v>
      </c>
      <c r="F31" s="6">
        <v>7.9550000000000001</v>
      </c>
      <c r="G31" s="5" t="s">
        <v>25</v>
      </c>
      <c r="H31" s="5" t="s">
        <v>233</v>
      </c>
      <c r="I31" s="5" t="s">
        <v>234</v>
      </c>
      <c r="J31" s="5" t="s">
        <v>25</v>
      </c>
      <c r="K31" s="5"/>
      <c r="L31" s="7"/>
      <c r="M31" s="7"/>
      <c r="N31" s="7"/>
      <c r="O31" s="7"/>
    </row>
    <row r="32" spans="1:15" ht="22.05" customHeight="1">
      <c r="A32" s="5" t="s">
        <v>25</v>
      </c>
      <c r="B32" s="5" t="s">
        <v>39</v>
      </c>
      <c r="C32" s="5" t="s">
        <v>40</v>
      </c>
      <c r="D32" s="5" t="s">
        <v>235</v>
      </c>
      <c r="E32" s="6">
        <v>11.022</v>
      </c>
      <c r="F32" s="6">
        <v>11.022</v>
      </c>
      <c r="G32" s="5" t="s">
        <v>25</v>
      </c>
      <c r="H32" s="5" t="s">
        <v>236</v>
      </c>
      <c r="I32" s="5" t="s">
        <v>237</v>
      </c>
      <c r="J32" s="5" t="s">
        <v>25</v>
      </c>
      <c r="K32" s="5"/>
      <c r="L32" s="7"/>
      <c r="M32" s="7"/>
      <c r="N32" s="7"/>
      <c r="O32" s="7"/>
    </row>
    <row r="33" spans="1:15" ht="22.05" customHeight="1">
      <c r="A33" s="5" t="s">
        <v>25</v>
      </c>
      <c r="B33" s="5" t="s">
        <v>39</v>
      </c>
      <c r="C33" s="5" t="s">
        <v>40</v>
      </c>
      <c r="D33" s="5" t="s">
        <v>238</v>
      </c>
      <c r="E33" s="6">
        <v>-49.21</v>
      </c>
      <c r="F33" s="6">
        <v>49.21</v>
      </c>
      <c r="G33" s="5" t="s">
        <v>25</v>
      </c>
      <c r="H33" s="5" t="s">
        <v>236</v>
      </c>
      <c r="I33" s="5" t="s">
        <v>239</v>
      </c>
      <c r="J33" s="5" t="s">
        <v>25</v>
      </c>
      <c r="K33" s="5"/>
      <c r="L33" s="7"/>
      <c r="M33" s="7"/>
      <c r="N33" s="7"/>
      <c r="O33" s="7"/>
    </row>
    <row r="34" spans="1:15" ht="22.05" customHeight="1">
      <c r="A34" s="5" t="s">
        <v>25</v>
      </c>
      <c r="B34" s="5" t="s">
        <v>39</v>
      </c>
      <c r="C34" s="5" t="s">
        <v>40</v>
      </c>
      <c r="D34" s="5" t="s">
        <v>240</v>
      </c>
      <c r="E34" s="6">
        <v>-49.218000000000004</v>
      </c>
      <c r="F34" s="6">
        <v>49.218000000000004</v>
      </c>
      <c r="G34" s="5" t="s">
        <v>25</v>
      </c>
      <c r="H34" s="5" t="s">
        <v>236</v>
      </c>
      <c r="I34" s="5" t="s">
        <v>241</v>
      </c>
      <c r="J34" s="5" t="s">
        <v>25</v>
      </c>
      <c r="K34" s="5"/>
      <c r="L34" s="7"/>
      <c r="M34" s="7"/>
      <c r="N34" s="7"/>
      <c r="O34" s="7"/>
    </row>
    <row r="35" spans="1:15" ht="22.05" customHeight="1">
      <c r="A35" s="5" t="s">
        <v>25</v>
      </c>
      <c r="B35" s="5" t="s">
        <v>41</v>
      </c>
      <c r="C35" s="5" t="s">
        <v>40</v>
      </c>
      <c r="D35" s="5" t="s">
        <v>242</v>
      </c>
      <c r="E35" s="6">
        <v>11.029</v>
      </c>
      <c r="F35" s="6">
        <v>11.029</v>
      </c>
      <c r="G35" s="5" t="s">
        <v>25</v>
      </c>
      <c r="H35" s="5" t="s">
        <v>236</v>
      </c>
      <c r="I35" s="5" t="s">
        <v>243</v>
      </c>
      <c r="J35" s="5" t="s">
        <v>25</v>
      </c>
      <c r="K35" s="5"/>
      <c r="L35" s="7"/>
      <c r="M35" s="7"/>
      <c r="N35" s="7"/>
      <c r="O35" s="7"/>
    </row>
    <row r="36" spans="1:15" ht="22.05" customHeight="1">
      <c r="A36" s="5" t="s">
        <v>25</v>
      </c>
      <c r="B36" s="5" t="s">
        <v>42</v>
      </c>
      <c r="C36" s="5" t="s">
        <v>43</v>
      </c>
      <c r="D36" s="5" t="s">
        <v>244</v>
      </c>
      <c r="E36" s="6">
        <v>-14.602</v>
      </c>
      <c r="F36" s="6">
        <v>14.602</v>
      </c>
      <c r="G36" s="5" t="s">
        <v>25</v>
      </c>
      <c r="H36" s="5" t="s">
        <v>245</v>
      </c>
      <c r="I36" s="5" t="s">
        <v>246</v>
      </c>
      <c r="J36" s="5" t="s">
        <v>25</v>
      </c>
      <c r="K36" s="5"/>
      <c r="L36" s="7"/>
      <c r="M36" s="7"/>
      <c r="N36" s="7"/>
      <c r="O36" s="7"/>
    </row>
    <row r="37" spans="1:15" ht="22.05" customHeight="1">
      <c r="A37" s="5" t="s">
        <v>25</v>
      </c>
      <c r="B37" s="5" t="s">
        <v>44</v>
      </c>
      <c r="C37" s="5" t="s">
        <v>45</v>
      </c>
      <c r="D37" s="5" t="s">
        <v>247</v>
      </c>
      <c r="E37" s="6">
        <v>-16.302</v>
      </c>
      <c r="F37" s="6">
        <v>16.302</v>
      </c>
      <c r="G37" s="5" t="s">
        <v>25</v>
      </c>
      <c r="H37" s="5" t="s">
        <v>248</v>
      </c>
      <c r="I37" s="5" t="s">
        <v>249</v>
      </c>
      <c r="J37" s="5" t="s">
        <v>25</v>
      </c>
      <c r="K37" s="5"/>
      <c r="L37" s="7"/>
      <c r="M37" s="7"/>
      <c r="N37" s="7"/>
      <c r="O37" s="7"/>
    </row>
    <row r="38" spans="1:15" ht="22.05" customHeight="1">
      <c r="A38" s="5" t="s">
        <v>25</v>
      </c>
      <c r="B38" s="5" t="s">
        <v>44</v>
      </c>
      <c r="C38" s="5" t="s">
        <v>45</v>
      </c>
      <c r="D38" s="5" t="s">
        <v>250</v>
      </c>
      <c r="E38" s="6">
        <v>-16.309000000000001</v>
      </c>
      <c r="F38" s="6">
        <v>16.309000000000001</v>
      </c>
      <c r="G38" s="5" t="s">
        <v>25</v>
      </c>
      <c r="H38" s="5" t="s">
        <v>248</v>
      </c>
      <c r="I38" s="5" t="s">
        <v>251</v>
      </c>
      <c r="J38" s="5" t="s">
        <v>25</v>
      </c>
      <c r="K38" s="5"/>
      <c r="L38" s="7"/>
      <c r="M38" s="7"/>
      <c r="N38" s="7"/>
      <c r="O38" s="7"/>
    </row>
    <row r="39" spans="1:15" ht="22.05" customHeight="1">
      <c r="A39" s="5" t="s">
        <v>25</v>
      </c>
      <c r="B39" s="5" t="s">
        <v>46</v>
      </c>
      <c r="C39" s="5" t="s">
        <v>47</v>
      </c>
      <c r="D39" s="5" t="s">
        <v>252</v>
      </c>
      <c r="E39" s="6">
        <v>19.359000000000002</v>
      </c>
      <c r="F39" s="6">
        <v>19.359000000000002</v>
      </c>
      <c r="G39" s="5" t="s">
        <v>25</v>
      </c>
      <c r="H39" s="5" t="s">
        <v>253</v>
      </c>
      <c r="I39" s="5" t="s">
        <v>254</v>
      </c>
      <c r="J39" s="5" t="s">
        <v>25</v>
      </c>
      <c r="K39" s="5"/>
      <c r="L39" s="7"/>
      <c r="M39" s="7"/>
      <c r="N39" s="7"/>
      <c r="O39" s="7"/>
    </row>
    <row r="40" spans="1:15" ht="22.05" customHeight="1">
      <c r="A40" s="5" t="s">
        <v>25</v>
      </c>
      <c r="B40" s="5" t="s">
        <v>48</v>
      </c>
      <c r="C40" s="5" t="s">
        <v>27</v>
      </c>
      <c r="D40" s="5" t="s">
        <v>255</v>
      </c>
      <c r="E40" s="6">
        <v>19.593</v>
      </c>
      <c r="F40" s="6">
        <v>19.593</v>
      </c>
      <c r="G40" s="5" t="s">
        <v>25</v>
      </c>
      <c r="H40" s="5" t="s">
        <v>256</v>
      </c>
      <c r="I40" s="5" t="s">
        <v>257</v>
      </c>
      <c r="J40" s="5" t="s">
        <v>25</v>
      </c>
      <c r="K40" s="5"/>
      <c r="L40" s="7"/>
      <c r="M40" s="7"/>
      <c r="N40" s="7"/>
      <c r="O40" s="7"/>
    </row>
    <row r="41" spans="1:15" ht="22.05" customHeight="1">
      <c r="A41" s="5" t="s">
        <v>25</v>
      </c>
      <c r="B41" s="5" t="s">
        <v>48</v>
      </c>
      <c r="C41" s="5" t="s">
        <v>27</v>
      </c>
      <c r="D41" s="5" t="s">
        <v>258</v>
      </c>
      <c r="E41" s="6">
        <v>19.600000000000001</v>
      </c>
      <c r="F41" s="6">
        <v>19.600000000000001</v>
      </c>
      <c r="G41" s="5" t="s">
        <v>25</v>
      </c>
      <c r="H41" s="5" t="s">
        <v>256</v>
      </c>
      <c r="I41" s="5" t="s">
        <v>259</v>
      </c>
      <c r="J41" s="5" t="s">
        <v>25</v>
      </c>
      <c r="K41" s="5"/>
      <c r="L41" s="7"/>
      <c r="M41" s="7"/>
      <c r="N41" s="7"/>
      <c r="O41" s="7"/>
    </row>
    <row r="42" spans="1:15" ht="22.05" customHeight="1">
      <c r="A42" s="5" t="s">
        <v>25</v>
      </c>
      <c r="B42" s="5" t="s">
        <v>49</v>
      </c>
      <c r="C42" s="5" t="s">
        <v>50</v>
      </c>
      <c r="D42" s="5" t="s">
        <v>260</v>
      </c>
      <c r="E42" s="6">
        <v>-28.395</v>
      </c>
      <c r="F42" s="6">
        <v>28.395</v>
      </c>
      <c r="G42" s="5" t="s">
        <v>25</v>
      </c>
      <c r="H42" s="5" t="s">
        <v>261</v>
      </c>
      <c r="I42" s="5" t="s">
        <v>262</v>
      </c>
      <c r="J42" s="5" t="s">
        <v>25</v>
      </c>
      <c r="K42" s="5"/>
      <c r="L42" s="7"/>
      <c r="M42" s="7"/>
      <c r="N42" s="7"/>
      <c r="O42" s="7"/>
    </row>
    <row r="43" spans="1:15" ht="22.05" customHeight="1">
      <c r="A43" s="5" t="s">
        <v>25</v>
      </c>
      <c r="B43" s="5" t="s">
        <v>49</v>
      </c>
      <c r="C43" s="5" t="s">
        <v>50</v>
      </c>
      <c r="D43" s="5" t="s">
        <v>263</v>
      </c>
      <c r="E43" s="6">
        <v>32.42</v>
      </c>
      <c r="F43" s="6">
        <v>32.42</v>
      </c>
      <c r="G43" s="5" t="s">
        <v>25</v>
      </c>
      <c r="H43" s="5" t="s">
        <v>261</v>
      </c>
      <c r="I43" s="5" t="s">
        <v>264</v>
      </c>
      <c r="J43" s="5" t="s">
        <v>25</v>
      </c>
      <c r="K43" s="5"/>
      <c r="L43" s="7"/>
      <c r="M43" s="7"/>
      <c r="N43" s="7"/>
      <c r="O43" s="7"/>
    </row>
    <row r="44" spans="1:15" ht="22.05" customHeight="1">
      <c r="A44" s="5" t="s">
        <v>25</v>
      </c>
      <c r="B44" s="5" t="s">
        <v>51</v>
      </c>
      <c r="C44" s="5" t="s">
        <v>52</v>
      </c>
      <c r="D44" s="5" t="s">
        <v>265</v>
      </c>
      <c r="E44" s="6">
        <v>-28.536999999999999</v>
      </c>
      <c r="F44" s="6">
        <v>28.536999999999999</v>
      </c>
      <c r="G44" s="5" t="s">
        <v>25</v>
      </c>
      <c r="H44" s="5" t="s">
        <v>266</v>
      </c>
      <c r="I44" s="5" t="s">
        <v>267</v>
      </c>
      <c r="J44" s="5" t="s">
        <v>172</v>
      </c>
      <c r="K44" s="5"/>
      <c r="L44" s="7"/>
      <c r="M44" s="7"/>
      <c r="N44" s="7"/>
      <c r="O44" s="7"/>
    </row>
    <row r="45" spans="1:15" ht="22.05" customHeight="1">
      <c r="A45" s="5" t="s">
        <v>25</v>
      </c>
      <c r="B45" s="5" t="s">
        <v>53</v>
      </c>
      <c r="C45" s="5" t="s">
        <v>31</v>
      </c>
      <c r="D45" s="5" t="s">
        <v>268</v>
      </c>
      <c r="E45" s="6">
        <v>-28.786000000000001</v>
      </c>
      <c r="F45" s="6">
        <v>28.786000000000001</v>
      </c>
      <c r="G45" s="5" t="s">
        <v>25</v>
      </c>
      <c r="H45" s="5" t="s">
        <v>269</v>
      </c>
      <c r="I45" s="5" t="s">
        <v>270</v>
      </c>
      <c r="J45" s="5" t="s">
        <v>25</v>
      </c>
      <c r="K45" s="5"/>
      <c r="L45" s="7"/>
      <c r="M45" s="7"/>
      <c r="N45" s="7"/>
      <c r="O45" s="7"/>
    </row>
    <row r="46" spans="1:15" ht="22.05" customHeight="1">
      <c r="A46" s="5" t="s">
        <v>25</v>
      </c>
      <c r="B46" s="5" t="s">
        <v>53</v>
      </c>
      <c r="C46" s="5" t="s">
        <v>31</v>
      </c>
      <c r="D46" s="5" t="s">
        <v>271</v>
      </c>
      <c r="E46" s="6">
        <v>-28.792999999999999</v>
      </c>
      <c r="F46" s="6">
        <v>28.792999999999999</v>
      </c>
      <c r="G46" s="5" t="s">
        <v>25</v>
      </c>
      <c r="H46" s="5" t="s">
        <v>269</v>
      </c>
      <c r="I46" s="5" t="s">
        <v>272</v>
      </c>
      <c r="J46" s="5" t="s">
        <v>25</v>
      </c>
      <c r="K46" s="5"/>
      <c r="L46" s="7"/>
      <c r="M46" s="7"/>
      <c r="N46" s="7"/>
      <c r="O46" s="7"/>
    </row>
    <row r="47" spans="1:15" ht="22.05" customHeight="1">
      <c r="A47" s="5" t="s">
        <v>25</v>
      </c>
      <c r="B47" s="5" t="s">
        <v>54</v>
      </c>
      <c r="C47" s="5" t="s">
        <v>31</v>
      </c>
      <c r="D47" s="5" t="s">
        <v>273</v>
      </c>
      <c r="E47" s="6">
        <v>31.581</v>
      </c>
      <c r="F47" s="6">
        <v>31.581</v>
      </c>
      <c r="G47" s="5" t="s">
        <v>25</v>
      </c>
      <c r="H47" s="5" t="s">
        <v>274</v>
      </c>
      <c r="I47" s="5" t="s">
        <v>275</v>
      </c>
      <c r="J47" s="5" t="s">
        <v>25</v>
      </c>
      <c r="K47" s="5"/>
      <c r="L47" s="7"/>
      <c r="M47" s="7"/>
      <c r="N47" s="7"/>
      <c r="O47" s="7"/>
    </row>
    <row r="48" spans="1:15" ht="22.05" customHeight="1">
      <c r="A48" s="5" t="s">
        <v>25</v>
      </c>
      <c r="B48" s="5" t="s">
        <v>55</v>
      </c>
      <c r="C48" s="5" t="s">
        <v>56</v>
      </c>
      <c r="D48" s="5" t="s">
        <v>276</v>
      </c>
      <c r="E48" s="6">
        <v>32.234000000000002</v>
      </c>
      <c r="F48" s="6">
        <v>32.234000000000002</v>
      </c>
      <c r="G48" s="5" t="s">
        <v>25</v>
      </c>
      <c r="H48" s="5" t="s">
        <v>277</v>
      </c>
      <c r="I48" s="5" t="s">
        <v>278</v>
      </c>
      <c r="J48" s="5" t="s">
        <v>25</v>
      </c>
      <c r="K48" s="5"/>
      <c r="L48" s="7"/>
      <c r="M48" s="7"/>
      <c r="N48" s="7"/>
      <c r="O48" s="7"/>
    </row>
    <row r="49" spans="1:15" ht="22.05" customHeight="1">
      <c r="A49" s="5" t="s">
        <v>25</v>
      </c>
      <c r="B49" s="5" t="s">
        <v>55</v>
      </c>
      <c r="C49" s="5" t="s">
        <v>56</v>
      </c>
      <c r="D49" s="5" t="s">
        <v>279</v>
      </c>
      <c r="E49" s="6">
        <v>-52.456000000000003</v>
      </c>
      <c r="F49" s="6">
        <v>52.456000000000003</v>
      </c>
      <c r="G49" s="5" t="s">
        <v>25</v>
      </c>
      <c r="H49" s="5" t="s">
        <v>277</v>
      </c>
      <c r="I49" s="5" t="s">
        <v>280</v>
      </c>
      <c r="J49" s="5" t="s">
        <v>25</v>
      </c>
      <c r="K49" s="5"/>
      <c r="L49" s="7"/>
      <c r="M49" s="7"/>
      <c r="N49" s="7"/>
      <c r="O49" s="7"/>
    </row>
    <row r="50" spans="1:15" ht="22.05" customHeight="1">
      <c r="A50" s="5" t="s">
        <v>25</v>
      </c>
      <c r="B50" s="5" t="s">
        <v>55</v>
      </c>
      <c r="C50" s="5" t="s">
        <v>56</v>
      </c>
      <c r="D50" s="5" t="s">
        <v>281</v>
      </c>
      <c r="E50" s="6">
        <v>-52.463000000000001</v>
      </c>
      <c r="F50" s="6">
        <v>52.463000000000001</v>
      </c>
      <c r="G50" s="5" t="s">
        <v>25</v>
      </c>
      <c r="H50" s="5" t="s">
        <v>277</v>
      </c>
      <c r="I50" s="5" t="s">
        <v>282</v>
      </c>
      <c r="J50" s="5" t="s">
        <v>25</v>
      </c>
      <c r="K50" s="5"/>
      <c r="L50" s="7"/>
      <c r="M50" s="7"/>
      <c r="N50" s="7"/>
      <c r="O50" s="7"/>
    </row>
    <row r="51" spans="1:15" ht="22.05" customHeight="1">
      <c r="A51" s="5" t="s">
        <v>25</v>
      </c>
      <c r="B51" s="5" t="s">
        <v>57</v>
      </c>
      <c r="C51" s="5" t="s">
        <v>29</v>
      </c>
      <c r="D51" s="5" t="s">
        <v>283</v>
      </c>
      <c r="E51" s="6">
        <v>-40.167000000000002</v>
      </c>
      <c r="F51" s="6">
        <v>40.167000000000002</v>
      </c>
      <c r="G51" s="5" t="s">
        <v>25</v>
      </c>
      <c r="H51" s="5" t="s">
        <v>284</v>
      </c>
      <c r="I51" s="5" t="s">
        <v>285</v>
      </c>
      <c r="J51" s="5" t="s">
        <v>25</v>
      </c>
      <c r="K51" s="5"/>
      <c r="L51" s="7"/>
      <c r="M51" s="7"/>
      <c r="N51" s="7"/>
      <c r="O51" s="7"/>
    </row>
    <row r="52" spans="1:15" ht="22.05" customHeight="1">
      <c r="A52" s="5" t="s">
        <v>25</v>
      </c>
      <c r="B52" s="5" t="s">
        <v>57</v>
      </c>
      <c r="C52" s="5" t="s">
        <v>29</v>
      </c>
      <c r="D52" s="5" t="s">
        <v>286</v>
      </c>
      <c r="E52" s="6">
        <v>-40.173000000000002</v>
      </c>
      <c r="F52" s="6">
        <v>40.173000000000002</v>
      </c>
      <c r="G52" s="5" t="s">
        <v>25</v>
      </c>
      <c r="H52" s="5" t="s">
        <v>284</v>
      </c>
      <c r="I52" s="5" t="s">
        <v>287</v>
      </c>
      <c r="J52" s="5" t="s">
        <v>25</v>
      </c>
      <c r="K52" s="5"/>
      <c r="L52" s="7"/>
      <c r="M52" s="7"/>
      <c r="N52" s="7"/>
      <c r="O52" s="7"/>
    </row>
    <row r="53" spans="1:15" ht="22.05" customHeight="1">
      <c r="A53" s="5" t="s">
        <v>25</v>
      </c>
      <c r="B53" s="5" t="s">
        <v>58</v>
      </c>
      <c r="C53" s="5" t="s">
        <v>52</v>
      </c>
      <c r="D53" s="5" t="s">
        <v>288</v>
      </c>
      <c r="E53" s="6">
        <v>-40.186999999999998</v>
      </c>
      <c r="F53" s="6">
        <v>40.186999999999998</v>
      </c>
      <c r="G53" s="5" t="s">
        <v>25</v>
      </c>
      <c r="H53" s="5" t="s">
        <v>289</v>
      </c>
      <c r="I53" s="5" t="s">
        <v>290</v>
      </c>
      <c r="J53" s="5" t="s">
        <v>25</v>
      </c>
      <c r="K53" s="5"/>
      <c r="L53" s="7"/>
      <c r="M53" s="7"/>
      <c r="N53" s="7"/>
      <c r="O53" s="7"/>
    </row>
    <row r="54" spans="1:15" ht="22.05" customHeight="1">
      <c r="A54" s="5" t="s">
        <v>25</v>
      </c>
      <c r="B54" s="5" t="s">
        <v>58</v>
      </c>
      <c r="C54" s="5" t="s">
        <v>52</v>
      </c>
      <c r="D54" s="5" t="s">
        <v>291</v>
      </c>
      <c r="E54" s="6">
        <v>-40.194000000000003</v>
      </c>
      <c r="F54" s="6">
        <v>40.194000000000003</v>
      </c>
      <c r="G54" s="5" t="s">
        <v>25</v>
      </c>
      <c r="H54" s="5" t="s">
        <v>289</v>
      </c>
      <c r="I54" s="5" t="s">
        <v>292</v>
      </c>
      <c r="J54" s="5" t="s">
        <v>25</v>
      </c>
      <c r="K54" s="5"/>
      <c r="L54" s="7"/>
      <c r="M54" s="7"/>
      <c r="N54" s="7"/>
      <c r="O54" s="7"/>
    </row>
    <row r="55" spans="1:15" ht="22.05" customHeight="1">
      <c r="A55" s="5" t="s">
        <v>25</v>
      </c>
      <c r="B55" s="5" t="s">
        <v>59</v>
      </c>
      <c r="C55" s="5" t="s">
        <v>31</v>
      </c>
      <c r="D55" s="5" t="s">
        <v>293</v>
      </c>
      <c r="E55" s="6">
        <v>-40.420999999999999</v>
      </c>
      <c r="F55" s="6">
        <v>40.420999999999999</v>
      </c>
      <c r="G55" s="5" t="s">
        <v>25</v>
      </c>
      <c r="H55" s="5" t="s">
        <v>294</v>
      </c>
      <c r="I55" s="5" t="s">
        <v>295</v>
      </c>
      <c r="J55" s="5" t="s">
        <v>25</v>
      </c>
      <c r="K55" s="5"/>
      <c r="L55" s="7"/>
      <c r="M55" s="7"/>
      <c r="N55" s="7"/>
      <c r="O55" s="7"/>
    </row>
    <row r="56" spans="1:15" ht="22.05" customHeight="1">
      <c r="A56" s="5" t="s">
        <v>25</v>
      </c>
      <c r="B56" s="5" t="s">
        <v>60</v>
      </c>
      <c r="C56" s="5" t="s">
        <v>31</v>
      </c>
      <c r="D56" s="5" t="s">
        <v>296</v>
      </c>
      <c r="E56" s="6">
        <v>-40.581000000000003</v>
      </c>
      <c r="F56" s="6">
        <v>40.581000000000003</v>
      </c>
      <c r="G56" s="5" t="s">
        <v>25</v>
      </c>
      <c r="H56" s="5" t="s">
        <v>297</v>
      </c>
      <c r="I56" s="5" t="s">
        <v>298</v>
      </c>
      <c r="J56" s="5" t="s">
        <v>25</v>
      </c>
      <c r="K56" s="5"/>
      <c r="L56" s="7"/>
      <c r="M56" s="7"/>
      <c r="N56" s="7"/>
      <c r="O56" s="7"/>
    </row>
    <row r="57" spans="1:15" ht="22.05" customHeight="1">
      <c r="A57" s="5" t="s">
        <v>25</v>
      </c>
      <c r="B57" s="5" t="s">
        <v>61</v>
      </c>
      <c r="C57" s="5" t="s">
        <v>27</v>
      </c>
      <c r="D57" s="5" t="s">
        <v>299</v>
      </c>
      <c r="E57" s="6">
        <v>43.62</v>
      </c>
      <c r="F57" s="6">
        <v>43.62</v>
      </c>
      <c r="G57" s="5" t="s">
        <v>25</v>
      </c>
      <c r="H57" s="5" t="s">
        <v>300</v>
      </c>
      <c r="I57" s="5" t="s">
        <v>301</v>
      </c>
      <c r="J57" s="5" t="s">
        <v>25</v>
      </c>
      <c r="K57" s="5"/>
      <c r="L57" s="7"/>
      <c r="M57" s="7"/>
      <c r="N57" s="7"/>
      <c r="O57" s="7"/>
    </row>
    <row r="58" spans="1:15" ht="22.05" customHeight="1">
      <c r="A58" s="5" t="s">
        <v>25</v>
      </c>
      <c r="B58" s="5" t="s">
        <v>62</v>
      </c>
      <c r="C58" s="5" t="s">
        <v>45</v>
      </c>
      <c r="D58" s="5" t="s">
        <v>302</v>
      </c>
      <c r="E58" s="6">
        <v>47.618000000000002</v>
      </c>
      <c r="F58" s="6">
        <v>47.618000000000002</v>
      </c>
      <c r="G58" s="5" t="s">
        <v>25</v>
      </c>
      <c r="H58" s="5" t="s">
        <v>303</v>
      </c>
      <c r="I58" s="5" t="s">
        <v>304</v>
      </c>
      <c r="J58" s="5" t="s">
        <v>25</v>
      </c>
      <c r="K58" s="5"/>
      <c r="L58" s="7"/>
      <c r="M58" s="7"/>
      <c r="N58" s="7"/>
      <c r="O58" s="7"/>
    </row>
    <row r="59" spans="1:15" ht="22.05" customHeight="1">
      <c r="A59" s="5" t="s">
        <v>25</v>
      </c>
      <c r="B59" s="5" t="s">
        <v>62</v>
      </c>
      <c r="C59" s="5" t="s">
        <v>45</v>
      </c>
      <c r="D59" s="5" t="s">
        <v>305</v>
      </c>
      <c r="E59" s="6">
        <v>-60.029000000000003</v>
      </c>
      <c r="F59" s="6">
        <v>60.029000000000003</v>
      </c>
      <c r="G59" s="5" t="s">
        <v>25</v>
      </c>
      <c r="H59" s="5" t="s">
        <v>303</v>
      </c>
      <c r="I59" s="5" t="s">
        <v>306</v>
      </c>
      <c r="J59" s="5" t="s">
        <v>25</v>
      </c>
      <c r="K59" s="5"/>
      <c r="L59" s="7"/>
      <c r="M59" s="7"/>
      <c r="N59" s="7"/>
      <c r="O59" s="7"/>
    </row>
    <row r="60" spans="1:15" ht="22.05" customHeight="1">
      <c r="A60" s="5" t="s">
        <v>25</v>
      </c>
      <c r="B60" s="5" t="s">
        <v>62</v>
      </c>
      <c r="C60" s="5" t="s">
        <v>45</v>
      </c>
      <c r="D60" s="5" t="s">
        <v>307</v>
      </c>
      <c r="E60" s="6">
        <v>-60.036000000000001</v>
      </c>
      <c r="F60" s="6">
        <v>60.036000000000001</v>
      </c>
      <c r="G60" s="5" t="s">
        <v>25</v>
      </c>
      <c r="H60" s="5" t="s">
        <v>303</v>
      </c>
      <c r="I60" s="5" t="s">
        <v>308</v>
      </c>
      <c r="J60" s="5" t="s">
        <v>25</v>
      </c>
      <c r="K60" s="5"/>
      <c r="L60" s="7"/>
      <c r="M60" s="7"/>
      <c r="N60" s="7"/>
      <c r="O60" s="7"/>
    </row>
    <row r="61" spans="1:15" ht="22.05" customHeight="1">
      <c r="A61" s="5" t="s">
        <v>25</v>
      </c>
      <c r="B61" s="5" t="s">
        <v>63</v>
      </c>
      <c r="C61" s="5" t="s">
        <v>27</v>
      </c>
      <c r="D61" s="5" t="s">
        <v>309</v>
      </c>
      <c r="E61" s="6">
        <v>-52.463999999999999</v>
      </c>
      <c r="F61" s="6">
        <v>52.463999999999999</v>
      </c>
      <c r="G61" s="5" t="s">
        <v>25</v>
      </c>
      <c r="H61" s="5" t="s">
        <v>310</v>
      </c>
      <c r="I61" s="5" t="s">
        <v>311</v>
      </c>
      <c r="J61" s="5" t="s">
        <v>25</v>
      </c>
      <c r="K61" s="5"/>
      <c r="L61" s="7"/>
      <c r="M61" s="7"/>
      <c r="N61" s="7"/>
      <c r="O61" s="7"/>
    </row>
    <row r="62" spans="1:15" ht="22.05" customHeight="1">
      <c r="A62" s="5" t="s">
        <v>25</v>
      </c>
      <c r="B62" s="5" t="s">
        <v>63</v>
      </c>
      <c r="C62" s="5" t="s">
        <v>27</v>
      </c>
      <c r="D62" s="5" t="s">
        <v>312</v>
      </c>
      <c r="E62" s="6">
        <v>-52.470999999999997</v>
      </c>
      <c r="F62" s="6">
        <v>52.470999999999997</v>
      </c>
      <c r="G62" s="5" t="s">
        <v>25</v>
      </c>
      <c r="H62" s="5" t="s">
        <v>310</v>
      </c>
      <c r="I62" s="5" t="s">
        <v>313</v>
      </c>
      <c r="J62" s="5" t="s">
        <v>25</v>
      </c>
      <c r="K62" s="5"/>
      <c r="L62" s="7"/>
      <c r="M62" s="7"/>
      <c r="N62" s="7"/>
      <c r="O62" s="7"/>
    </row>
    <row r="63" spans="1:15" ht="22.05" customHeight="1">
      <c r="A63" s="5" t="s">
        <v>25</v>
      </c>
      <c r="B63" s="5" t="s">
        <v>64</v>
      </c>
      <c r="C63" s="5" t="s">
        <v>45</v>
      </c>
      <c r="D63" s="5" t="s">
        <v>314</v>
      </c>
      <c r="E63" s="6">
        <v>-52.601999999999997</v>
      </c>
      <c r="F63" s="6">
        <v>52.601999999999997</v>
      </c>
      <c r="G63" s="5" t="s">
        <v>25</v>
      </c>
      <c r="H63" s="5" t="s">
        <v>315</v>
      </c>
      <c r="I63" s="5" t="s">
        <v>316</v>
      </c>
      <c r="J63" s="5" t="s">
        <v>25</v>
      </c>
      <c r="K63" s="5"/>
      <c r="L63" s="7"/>
      <c r="M63" s="7"/>
      <c r="N63" s="7"/>
      <c r="O63" s="7"/>
    </row>
    <row r="64" spans="1:15" ht="22.05" customHeight="1">
      <c r="A64" s="5" t="s">
        <v>25</v>
      </c>
      <c r="B64" s="5" t="s">
        <v>64</v>
      </c>
      <c r="C64" s="5" t="s">
        <v>45</v>
      </c>
      <c r="D64" s="5" t="s">
        <v>317</v>
      </c>
      <c r="E64" s="6">
        <v>-52.61</v>
      </c>
      <c r="F64" s="6">
        <v>52.61</v>
      </c>
      <c r="G64" s="5" t="s">
        <v>25</v>
      </c>
      <c r="H64" s="5" t="s">
        <v>315</v>
      </c>
      <c r="I64" s="5" t="s">
        <v>318</v>
      </c>
      <c r="J64" s="5" t="s">
        <v>25</v>
      </c>
      <c r="K64" s="5"/>
      <c r="L64" s="7"/>
      <c r="M64" s="7"/>
      <c r="N64" s="7"/>
      <c r="O64" s="7"/>
    </row>
    <row r="65" spans="1:15" ht="22.05" customHeight="1">
      <c r="A65" s="5" t="s">
        <v>25</v>
      </c>
      <c r="B65" s="5" t="s">
        <v>65</v>
      </c>
      <c r="C65" s="5" t="s">
        <v>66</v>
      </c>
      <c r="D65" s="5" t="s">
        <v>319</v>
      </c>
      <c r="E65" s="6">
        <v>55.548999999999999</v>
      </c>
      <c r="F65" s="6">
        <v>55.548999999999999</v>
      </c>
      <c r="G65" s="5" t="s">
        <v>25</v>
      </c>
      <c r="H65" s="5" t="s">
        <v>320</v>
      </c>
      <c r="I65" s="5" t="s">
        <v>321</v>
      </c>
      <c r="J65" s="5" t="s">
        <v>25</v>
      </c>
      <c r="K65" s="5"/>
      <c r="L65" s="7"/>
      <c r="M65" s="7"/>
      <c r="N65" s="7"/>
      <c r="O65" s="7"/>
    </row>
    <row r="66" spans="1:15" ht="22.05" customHeight="1">
      <c r="A66" s="5" t="s">
        <v>25</v>
      </c>
      <c r="B66" s="5" t="s">
        <v>67</v>
      </c>
      <c r="C66" s="5" t="s">
        <v>68</v>
      </c>
      <c r="D66" s="5" t="s">
        <v>322</v>
      </c>
      <c r="E66" s="6">
        <v>-62.975000000000001</v>
      </c>
      <c r="F66" s="6">
        <v>62.975000000000001</v>
      </c>
      <c r="G66" s="5" t="s">
        <v>25</v>
      </c>
      <c r="H66" s="5" t="s">
        <v>323</v>
      </c>
      <c r="I66" s="5" t="s">
        <v>324</v>
      </c>
      <c r="J66" s="5" t="s">
        <v>25</v>
      </c>
      <c r="K66" s="5"/>
      <c r="L66" s="7"/>
      <c r="M66" s="7"/>
      <c r="N66" s="7"/>
      <c r="O66" s="7"/>
    </row>
    <row r="67" spans="1:15" ht="22.05" customHeight="1">
      <c r="A67" s="5" t="s">
        <v>25</v>
      </c>
      <c r="B67" s="5" t="s">
        <v>69</v>
      </c>
      <c r="C67" s="5" t="s">
        <v>52</v>
      </c>
      <c r="D67" s="5" t="s">
        <v>325</v>
      </c>
      <c r="E67" s="6">
        <v>-64.269000000000005</v>
      </c>
      <c r="F67" s="6">
        <v>64.269000000000005</v>
      </c>
      <c r="G67" s="5" t="s">
        <v>25</v>
      </c>
      <c r="H67" s="5" t="s">
        <v>326</v>
      </c>
      <c r="I67" s="5" t="s">
        <v>327</v>
      </c>
      <c r="J67" s="5" t="s">
        <v>25</v>
      </c>
      <c r="K67" s="5"/>
      <c r="L67" s="7"/>
      <c r="M67" s="7"/>
      <c r="N67" s="7"/>
      <c r="O67" s="7"/>
    </row>
    <row r="68" spans="1:15" ht="22.05" customHeight="1">
      <c r="A68" s="5" t="s">
        <v>25</v>
      </c>
      <c r="B68" s="5" t="s">
        <v>69</v>
      </c>
      <c r="C68" s="5" t="s">
        <v>52</v>
      </c>
      <c r="D68" s="5" t="s">
        <v>328</v>
      </c>
      <c r="E68" s="6">
        <v>-64.275999999999996</v>
      </c>
      <c r="F68" s="6">
        <v>64.275999999999996</v>
      </c>
      <c r="G68" s="5" t="s">
        <v>25</v>
      </c>
      <c r="H68" s="5" t="s">
        <v>326</v>
      </c>
      <c r="I68" s="5" t="s">
        <v>329</v>
      </c>
      <c r="J68" s="5" t="s">
        <v>25</v>
      </c>
      <c r="K68" s="5"/>
      <c r="L68" s="7"/>
      <c r="M68" s="7"/>
      <c r="N68" s="7"/>
      <c r="O68" s="7"/>
    </row>
    <row r="69" spans="1:15" ht="22.05" customHeight="1">
      <c r="A69" s="5" t="s">
        <v>25</v>
      </c>
      <c r="B69" s="5" t="s">
        <v>70</v>
      </c>
      <c r="C69" s="5" t="s">
        <v>27</v>
      </c>
      <c r="D69" s="5" t="s">
        <v>330</v>
      </c>
      <c r="E69" s="6">
        <v>-64.308999999999997</v>
      </c>
      <c r="F69" s="6">
        <v>64.308999999999997</v>
      </c>
      <c r="G69" s="5" t="s">
        <v>25</v>
      </c>
      <c r="H69" s="5" t="s">
        <v>331</v>
      </c>
      <c r="I69" s="5" t="s">
        <v>332</v>
      </c>
      <c r="J69" s="5" t="s">
        <v>25</v>
      </c>
      <c r="K69" s="5"/>
      <c r="L69" s="7"/>
      <c r="M69" s="7"/>
      <c r="N69" s="7"/>
      <c r="O69" s="7"/>
    </row>
    <row r="70" spans="1:15" ht="22.05" customHeight="1">
      <c r="A70" s="5" t="s">
        <v>25</v>
      </c>
      <c r="B70" s="5" t="s">
        <v>71</v>
      </c>
      <c r="C70" s="5" t="s">
        <v>31</v>
      </c>
      <c r="D70" s="5" t="s">
        <v>333</v>
      </c>
      <c r="E70" s="6">
        <v>-64.418999999999997</v>
      </c>
      <c r="F70" s="6">
        <v>64.418999999999997</v>
      </c>
      <c r="G70" s="5" t="s">
        <v>25</v>
      </c>
      <c r="H70" s="5" t="s">
        <v>334</v>
      </c>
      <c r="I70" s="5" t="s">
        <v>335</v>
      </c>
      <c r="J70" s="5" t="s">
        <v>25</v>
      </c>
      <c r="K70" s="5"/>
      <c r="L70" s="7"/>
      <c r="M70" s="7"/>
      <c r="N70" s="7"/>
      <c r="O70" s="7"/>
    </row>
    <row r="71" spans="1:15" ht="22.05" customHeight="1">
      <c r="A71" s="5" t="s">
        <v>25</v>
      </c>
      <c r="B71" s="5" t="s">
        <v>72</v>
      </c>
      <c r="C71" s="5" t="s">
        <v>27</v>
      </c>
      <c r="D71" s="5" t="s">
        <v>336</v>
      </c>
      <c r="E71" s="6">
        <v>67.477999999999994</v>
      </c>
      <c r="F71" s="6">
        <v>67.477999999999994</v>
      </c>
      <c r="G71" s="5" t="s">
        <v>25</v>
      </c>
      <c r="H71" s="5" t="s">
        <v>337</v>
      </c>
      <c r="I71" s="5" t="s">
        <v>338</v>
      </c>
      <c r="J71" s="5" t="s">
        <v>25</v>
      </c>
      <c r="K71" s="5"/>
      <c r="L71" s="7"/>
      <c r="M71" s="7"/>
      <c r="N71" s="7"/>
      <c r="O71" s="7"/>
    </row>
    <row r="72" spans="1:15" ht="22.05" customHeight="1">
      <c r="A72" s="5" t="s">
        <v>25</v>
      </c>
      <c r="B72" s="5" t="s">
        <v>72</v>
      </c>
      <c r="C72" s="5" t="s">
        <v>27</v>
      </c>
      <c r="D72" s="5" t="s">
        <v>339</v>
      </c>
      <c r="E72" s="6">
        <v>67.484999999999999</v>
      </c>
      <c r="F72" s="6">
        <v>67.484999999999999</v>
      </c>
      <c r="G72" s="5" t="s">
        <v>25</v>
      </c>
      <c r="H72" s="5" t="s">
        <v>337</v>
      </c>
      <c r="I72" s="5" t="s">
        <v>340</v>
      </c>
      <c r="J72" s="5" t="s">
        <v>25</v>
      </c>
      <c r="K72" s="5"/>
      <c r="L72" s="7"/>
      <c r="M72" s="7"/>
      <c r="N72" s="7"/>
      <c r="O72" s="7"/>
    </row>
    <row r="73" spans="1:15" ht="22.05" customHeight="1">
      <c r="A73" s="5" t="s">
        <v>25</v>
      </c>
      <c r="B73" s="5" t="s">
        <v>73</v>
      </c>
      <c r="C73" s="5" t="s">
        <v>27</v>
      </c>
      <c r="D73" s="5" t="s">
        <v>341</v>
      </c>
      <c r="E73" s="6">
        <v>67.527000000000001</v>
      </c>
      <c r="F73" s="6">
        <v>67.527000000000001</v>
      </c>
      <c r="G73" s="5" t="s">
        <v>25</v>
      </c>
      <c r="H73" s="5" t="s">
        <v>342</v>
      </c>
      <c r="I73" s="5" t="s">
        <v>343</v>
      </c>
      <c r="J73" s="5" t="s">
        <v>25</v>
      </c>
      <c r="K73" s="5"/>
      <c r="L73" s="7"/>
      <c r="M73" s="7"/>
      <c r="N73" s="7"/>
      <c r="O73" s="7"/>
    </row>
    <row r="74" spans="1:15" ht="22.05" customHeight="1">
      <c r="A74" s="5" t="s">
        <v>25</v>
      </c>
      <c r="B74" s="5" t="s">
        <v>73</v>
      </c>
      <c r="C74" s="5" t="s">
        <v>27</v>
      </c>
      <c r="D74" s="5" t="s">
        <v>344</v>
      </c>
      <c r="E74" s="6">
        <v>67.534000000000006</v>
      </c>
      <c r="F74" s="6">
        <v>67.534000000000006</v>
      </c>
      <c r="G74" s="5" t="s">
        <v>25</v>
      </c>
      <c r="H74" s="5" t="s">
        <v>342</v>
      </c>
      <c r="I74" s="5" t="s">
        <v>345</v>
      </c>
      <c r="J74" s="5" t="s">
        <v>25</v>
      </c>
      <c r="K74" s="5"/>
      <c r="L74" s="7"/>
      <c r="M74" s="7"/>
      <c r="N74" s="7"/>
      <c r="O74" s="7"/>
    </row>
    <row r="75" spans="1:15" ht="22.05" customHeight="1">
      <c r="A75" s="5" t="s">
        <v>25</v>
      </c>
      <c r="B75" s="5" t="s">
        <v>74</v>
      </c>
      <c r="C75" s="5" t="s">
        <v>75</v>
      </c>
      <c r="D75" s="5" t="s">
        <v>346</v>
      </c>
      <c r="E75" s="6">
        <v>67.623999999999995</v>
      </c>
      <c r="F75" s="6">
        <v>67.623999999999995</v>
      </c>
      <c r="G75" s="5" t="s">
        <v>25</v>
      </c>
      <c r="H75" s="5" t="s">
        <v>347</v>
      </c>
      <c r="I75" s="5" t="s">
        <v>348</v>
      </c>
      <c r="J75" s="5" t="s">
        <v>25</v>
      </c>
      <c r="K75" s="5"/>
      <c r="L75" s="7"/>
      <c r="M75" s="7"/>
      <c r="N75" s="7"/>
      <c r="O75" s="7"/>
    </row>
    <row r="76" spans="1:15" ht="22.05" customHeight="1">
      <c r="A76" s="5" t="s">
        <v>25</v>
      </c>
      <c r="B76" s="5" t="s">
        <v>74</v>
      </c>
      <c r="C76" s="5" t="s">
        <v>75</v>
      </c>
      <c r="D76" s="5" t="s">
        <v>349</v>
      </c>
      <c r="E76" s="6">
        <v>67.632000000000005</v>
      </c>
      <c r="F76" s="6">
        <v>67.632000000000005</v>
      </c>
      <c r="G76" s="5" t="s">
        <v>25</v>
      </c>
      <c r="H76" s="5" t="s">
        <v>347</v>
      </c>
      <c r="I76" s="5" t="s">
        <v>350</v>
      </c>
      <c r="J76" s="5" t="s">
        <v>25</v>
      </c>
      <c r="K76" s="5"/>
      <c r="L76" s="7"/>
      <c r="M76" s="7"/>
      <c r="N76" s="7"/>
      <c r="O76" s="7"/>
    </row>
    <row r="77" spans="1:15" ht="22.05" customHeight="1">
      <c r="A77" s="5" t="s">
        <v>76</v>
      </c>
      <c r="B77" s="5" t="s">
        <v>77</v>
      </c>
      <c r="C77" s="5" t="s">
        <v>78</v>
      </c>
      <c r="D77" s="5" t="s">
        <v>351</v>
      </c>
      <c r="E77" s="6">
        <v>0.20300000000000001</v>
      </c>
      <c r="F77" s="6">
        <v>0.20300000000000001</v>
      </c>
      <c r="G77" s="5" t="s">
        <v>352</v>
      </c>
      <c r="H77" s="5" t="s">
        <v>353</v>
      </c>
      <c r="I77" s="5" t="s">
        <v>354</v>
      </c>
      <c r="J77" s="5" t="s">
        <v>352</v>
      </c>
      <c r="K77" s="5"/>
      <c r="L77" s="7"/>
      <c r="M77" s="7"/>
      <c r="N77" s="7"/>
      <c r="O77" s="7"/>
    </row>
    <row r="78" spans="1:15" ht="22.05" customHeight="1">
      <c r="A78" s="5" t="s">
        <v>76</v>
      </c>
      <c r="B78" s="5" t="s">
        <v>79</v>
      </c>
      <c r="C78" s="5" t="s">
        <v>80</v>
      </c>
      <c r="D78" s="5" t="s">
        <v>355</v>
      </c>
      <c r="E78" s="6">
        <v>-0.443</v>
      </c>
      <c r="F78" s="6">
        <v>0.443</v>
      </c>
      <c r="G78" s="5" t="s">
        <v>352</v>
      </c>
      <c r="H78" s="5" t="s">
        <v>356</v>
      </c>
      <c r="I78" s="5" t="s">
        <v>357</v>
      </c>
      <c r="J78" s="5" t="s">
        <v>352</v>
      </c>
      <c r="K78" s="5"/>
      <c r="L78" s="7"/>
      <c r="M78" s="7"/>
      <c r="N78" s="7"/>
      <c r="O78" s="7"/>
    </row>
    <row r="79" spans="1:15" ht="22.05" customHeight="1">
      <c r="A79" s="5" t="s">
        <v>76</v>
      </c>
      <c r="B79" s="5" t="s">
        <v>81</v>
      </c>
      <c r="C79" s="5" t="s">
        <v>82</v>
      </c>
      <c r="D79" s="5" t="s">
        <v>358</v>
      </c>
      <c r="E79" s="6">
        <v>-4.0419999999999998</v>
      </c>
      <c r="F79" s="6">
        <v>4.0419999999999998</v>
      </c>
      <c r="G79" s="5" t="s">
        <v>169</v>
      </c>
      <c r="H79" s="5" t="s">
        <v>359</v>
      </c>
      <c r="I79" s="5" t="s">
        <v>360</v>
      </c>
      <c r="J79" s="5" t="s">
        <v>169</v>
      </c>
      <c r="K79" s="5"/>
      <c r="L79" s="7"/>
      <c r="M79" s="7"/>
      <c r="N79" s="7"/>
      <c r="O79" s="7"/>
    </row>
    <row r="80" spans="1:15" ht="22.05" customHeight="1">
      <c r="A80" s="5" t="s">
        <v>76</v>
      </c>
      <c r="B80" s="5" t="s">
        <v>81</v>
      </c>
      <c r="C80" s="5" t="s">
        <v>82</v>
      </c>
      <c r="D80" s="5" t="s">
        <v>361</v>
      </c>
      <c r="E80" s="6">
        <v>20.073</v>
      </c>
      <c r="F80" s="6">
        <v>20.073</v>
      </c>
      <c r="G80" s="5" t="s">
        <v>169</v>
      </c>
      <c r="H80" s="5" t="s">
        <v>362</v>
      </c>
      <c r="I80" s="5" t="s">
        <v>363</v>
      </c>
      <c r="J80" s="5" t="s">
        <v>169</v>
      </c>
      <c r="K80" s="5"/>
      <c r="L80" s="7"/>
      <c r="M80" s="7"/>
      <c r="N80" s="7"/>
      <c r="O80" s="7"/>
    </row>
    <row r="81" spans="1:15" ht="22.05" customHeight="1">
      <c r="A81" s="5" t="s">
        <v>76</v>
      </c>
      <c r="B81" s="5" t="s">
        <v>83</v>
      </c>
      <c r="C81" s="5" t="s">
        <v>84</v>
      </c>
      <c r="D81" s="5" t="s">
        <v>364</v>
      </c>
      <c r="E81" s="6">
        <v>-4.8860000000000001</v>
      </c>
      <c r="F81" s="6">
        <v>4.8860000000000001</v>
      </c>
      <c r="G81" s="5" t="s">
        <v>352</v>
      </c>
      <c r="H81" s="5" t="s">
        <v>365</v>
      </c>
      <c r="I81" s="5" t="s">
        <v>366</v>
      </c>
      <c r="J81" s="5" t="s">
        <v>352</v>
      </c>
      <c r="K81" s="5"/>
      <c r="L81" s="7"/>
      <c r="M81" s="7"/>
      <c r="N81" s="7"/>
      <c r="O81" s="7"/>
    </row>
    <row r="82" spans="1:15" ht="22.05" customHeight="1">
      <c r="A82" s="5" t="s">
        <v>76</v>
      </c>
      <c r="B82" s="5" t="s">
        <v>83</v>
      </c>
      <c r="C82" s="5" t="s">
        <v>84</v>
      </c>
      <c r="D82" s="5" t="s">
        <v>367</v>
      </c>
      <c r="E82" s="6">
        <v>-4.8929999999999998</v>
      </c>
      <c r="F82" s="6">
        <v>4.8929999999999998</v>
      </c>
      <c r="G82" s="5" t="s">
        <v>352</v>
      </c>
      <c r="H82" s="5" t="s">
        <v>365</v>
      </c>
      <c r="I82" s="5" t="s">
        <v>368</v>
      </c>
      <c r="J82" s="5" t="s">
        <v>352</v>
      </c>
      <c r="K82" s="5"/>
      <c r="L82" s="7"/>
      <c r="M82" s="7"/>
      <c r="N82" s="7"/>
      <c r="O82" s="7"/>
    </row>
    <row r="83" spans="1:15" ht="22.05" customHeight="1">
      <c r="A83" s="5" t="s">
        <v>76</v>
      </c>
      <c r="B83" s="5" t="s">
        <v>83</v>
      </c>
      <c r="C83" s="5" t="s">
        <v>84</v>
      </c>
      <c r="D83" s="5" t="s">
        <v>369</v>
      </c>
      <c r="E83" s="6">
        <v>54.813000000000002</v>
      </c>
      <c r="F83" s="6">
        <v>54.813000000000002</v>
      </c>
      <c r="G83" s="5" t="s">
        <v>352</v>
      </c>
      <c r="H83" s="5" t="s">
        <v>365</v>
      </c>
      <c r="I83" s="5" t="s">
        <v>370</v>
      </c>
      <c r="J83" s="5" t="s">
        <v>352</v>
      </c>
      <c r="K83" s="5"/>
      <c r="L83" s="7"/>
      <c r="M83" s="7"/>
      <c r="N83" s="7"/>
      <c r="O83" s="7"/>
    </row>
    <row r="84" spans="1:15" ht="22.05" customHeight="1">
      <c r="A84" s="5" t="s">
        <v>76</v>
      </c>
      <c r="B84" s="5" t="s">
        <v>85</v>
      </c>
      <c r="C84" s="5" t="s">
        <v>86</v>
      </c>
      <c r="D84" s="5" t="s">
        <v>371</v>
      </c>
      <c r="E84" s="6">
        <v>6.1070000000000002</v>
      </c>
      <c r="F84" s="6">
        <v>6.1070000000000002</v>
      </c>
      <c r="G84" s="5" t="s">
        <v>352</v>
      </c>
      <c r="H84" s="5" t="s">
        <v>372</v>
      </c>
      <c r="I84" s="5" t="s">
        <v>373</v>
      </c>
      <c r="J84" s="5" t="s">
        <v>352</v>
      </c>
      <c r="K84" s="5"/>
      <c r="L84" s="7"/>
      <c r="M84" s="7"/>
      <c r="N84" s="7"/>
      <c r="O84" s="7"/>
    </row>
    <row r="85" spans="1:15" ht="22.05" customHeight="1">
      <c r="A85" s="5" t="s">
        <v>76</v>
      </c>
      <c r="B85" s="5" t="s">
        <v>85</v>
      </c>
      <c r="C85" s="5" t="s">
        <v>86</v>
      </c>
      <c r="D85" s="5" t="s">
        <v>374</v>
      </c>
      <c r="E85" s="6">
        <v>-29.686</v>
      </c>
      <c r="F85" s="6">
        <v>29.686</v>
      </c>
      <c r="G85" s="5" t="s">
        <v>352</v>
      </c>
      <c r="H85" s="5" t="s">
        <v>372</v>
      </c>
      <c r="I85" s="5" t="s">
        <v>375</v>
      </c>
      <c r="J85" s="5" t="s">
        <v>352</v>
      </c>
      <c r="K85" s="5"/>
      <c r="L85" s="7"/>
      <c r="M85" s="7"/>
      <c r="N85" s="7"/>
      <c r="O85" s="7"/>
    </row>
    <row r="86" spans="1:15" ht="22.05" customHeight="1">
      <c r="A86" s="5" t="s">
        <v>76</v>
      </c>
      <c r="B86" s="5" t="s">
        <v>87</v>
      </c>
      <c r="C86" s="5" t="s">
        <v>88</v>
      </c>
      <c r="D86" s="5" t="s">
        <v>376</v>
      </c>
      <c r="E86" s="6">
        <v>7.1959999999999997</v>
      </c>
      <c r="F86" s="6">
        <v>7.1959999999999997</v>
      </c>
      <c r="G86" s="5" t="s">
        <v>377</v>
      </c>
      <c r="H86" s="5" t="s">
        <v>378</v>
      </c>
      <c r="I86" s="5" t="s">
        <v>379</v>
      </c>
      <c r="J86" s="5" t="s">
        <v>377</v>
      </c>
      <c r="K86" s="5"/>
      <c r="L86" s="7"/>
      <c r="M86" s="7"/>
      <c r="N86" s="7"/>
      <c r="O86" s="7"/>
    </row>
    <row r="87" spans="1:15" ht="22.05" customHeight="1">
      <c r="A87" s="5" t="s">
        <v>76</v>
      </c>
      <c r="B87" s="5" t="s">
        <v>87</v>
      </c>
      <c r="C87" s="5" t="s">
        <v>88</v>
      </c>
      <c r="D87" s="5" t="s">
        <v>380</v>
      </c>
      <c r="E87" s="6">
        <v>-28.677</v>
      </c>
      <c r="F87" s="6">
        <v>28.677</v>
      </c>
      <c r="G87" s="5" t="s">
        <v>377</v>
      </c>
      <c r="H87" s="5" t="s">
        <v>381</v>
      </c>
      <c r="I87" s="5" t="s">
        <v>382</v>
      </c>
      <c r="J87" s="5" t="s">
        <v>377</v>
      </c>
      <c r="K87" s="5"/>
      <c r="L87" s="7"/>
      <c r="M87" s="7"/>
      <c r="N87" s="7"/>
      <c r="O87" s="7"/>
    </row>
    <row r="88" spans="1:15" ht="22.05" customHeight="1">
      <c r="A88" s="5" t="s">
        <v>76</v>
      </c>
      <c r="B88" s="5" t="s">
        <v>89</v>
      </c>
      <c r="C88" s="5" t="s">
        <v>88</v>
      </c>
      <c r="D88" s="5" t="s">
        <v>383</v>
      </c>
      <c r="E88" s="6">
        <v>7.3170000000000002</v>
      </c>
      <c r="F88" s="6">
        <v>7.3170000000000002</v>
      </c>
      <c r="G88" s="5" t="s">
        <v>377</v>
      </c>
      <c r="H88" s="5" t="s">
        <v>384</v>
      </c>
      <c r="I88" s="5" t="s">
        <v>385</v>
      </c>
      <c r="J88" s="5" t="s">
        <v>377</v>
      </c>
      <c r="K88" s="5"/>
      <c r="L88" s="7"/>
      <c r="M88" s="7"/>
      <c r="N88" s="7"/>
      <c r="O88" s="7"/>
    </row>
    <row r="89" spans="1:15" ht="22.05" customHeight="1">
      <c r="A89" s="5" t="s">
        <v>76</v>
      </c>
      <c r="B89" s="5" t="s">
        <v>89</v>
      </c>
      <c r="C89" s="5" t="s">
        <v>88</v>
      </c>
      <c r="D89" s="5" t="s">
        <v>386</v>
      </c>
      <c r="E89" s="6">
        <v>31.329000000000001</v>
      </c>
      <c r="F89" s="6">
        <v>31.329000000000001</v>
      </c>
      <c r="G89" s="5" t="s">
        <v>377</v>
      </c>
      <c r="H89" s="5" t="s">
        <v>387</v>
      </c>
      <c r="I89" s="5" t="s">
        <v>388</v>
      </c>
      <c r="J89" s="5" t="s">
        <v>377</v>
      </c>
      <c r="K89" s="5"/>
      <c r="L89" s="7"/>
      <c r="M89" s="7"/>
      <c r="N89" s="7"/>
      <c r="O89" s="7"/>
    </row>
    <row r="90" spans="1:15" ht="22.05" customHeight="1">
      <c r="A90" s="5" t="s">
        <v>76</v>
      </c>
      <c r="B90" s="5" t="s">
        <v>90</v>
      </c>
      <c r="C90" s="5" t="s">
        <v>91</v>
      </c>
      <c r="D90" s="5" t="s">
        <v>389</v>
      </c>
      <c r="E90" s="6">
        <v>7.64</v>
      </c>
      <c r="F90" s="6">
        <v>7.64</v>
      </c>
      <c r="G90" s="5" t="s">
        <v>169</v>
      </c>
      <c r="H90" s="5" t="s">
        <v>390</v>
      </c>
      <c r="I90" s="5" t="s">
        <v>391</v>
      </c>
      <c r="J90" s="5" t="s">
        <v>169</v>
      </c>
      <c r="K90" s="5"/>
      <c r="L90" s="7"/>
      <c r="M90" s="7"/>
      <c r="N90" s="7"/>
      <c r="O90" s="7"/>
    </row>
    <row r="91" spans="1:15" ht="22.05" customHeight="1">
      <c r="A91" s="5" t="s">
        <v>76</v>
      </c>
      <c r="B91" s="5" t="s">
        <v>90</v>
      </c>
      <c r="C91" s="5" t="s">
        <v>91</v>
      </c>
      <c r="D91" s="5" t="s">
        <v>392</v>
      </c>
      <c r="E91" s="6">
        <v>-16.236999999999998</v>
      </c>
      <c r="F91" s="6">
        <v>16.236999999999998</v>
      </c>
      <c r="G91" s="5" t="s">
        <v>169</v>
      </c>
      <c r="H91" s="5" t="s">
        <v>390</v>
      </c>
      <c r="I91" s="5" t="s">
        <v>393</v>
      </c>
      <c r="J91" s="5" t="s">
        <v>169</v>
      </c>
      <c r="K91" s="5"/>
      <c r="L91" s="7"/>
      <c r="M91" s="7"/>
      <c r="N91" s="7"/>
      <c r="O91" s="7"/>
    </row>
    <row r="92" spans="1:15" ht="22.05" customHeight="1">
      <c r="A92" s="5" t="s">
        <v>76</v>
      </c>
      <c r="B92" s="5" t="s">
        <v>92</v>
      </c>
      <c r="C92" s="5" t="s">
        <v>93</v>
      </c>
      <c r="D92" s="5" t="s">
        <v>394</v>
      </c>
      <c r="E92" s="6">
        <v>8.0190000000000001</v>
      </c>
      <c r="F92" s="6">
        <v>8.0190000000000001</v>
      </c>
      <c r="G92" s="5" t="s">
        <v>169</v>
      </c>
      <c r="H92" s="5" t="s">
        <v>395</v>
      </c>
      <c r="I92" s="5" t="s">
        <v>396</v>
      </c>
      <c r="J92" s="5" t="s">
        <v>169</v>
      </c>
      <c r="K92" s="5"/>
      <c r="L92" s="7"/>
      <c r="M92" s="7"/>
      <c r="N92" s="7"/>
      <c r="O92" s="7"/>
    </row>
    <row r="93" spans="1:15" ht="22.05" customHeight="1">
      <c r="A93" s="5" t="s">
        <v>76</v>
      </c>
      <c r="B93" s="5" t="s">
        <v>92</v>
      </c>
      <c r="C93" s="5" t="s">
        <v>93</v>
      </c>
      <c r="D93" s="5" t="s">
        <v>397</v>
      </c>
      <c r="E93" s="6">
        <v>-52.194000000000003</v>
      </c>
      <c r="F93" s="6">
        <v>52.194000000000003</v>
      </c>
      <c r="G93" s="5" t="s">
        <v>169</v>
      </c>
      <c r="H93" s="5" t="s">
        <v>395</v>
      </c>
      <c r="I93" s="5" t="s">
        <v>398</v>
      </c>
      <c r="J93" s="5" t="s">
        <v>169</v>
      </c>
      <c r="K93" s="5"/>
      <c r="L93" s="7"/>
      <c r="M93" s="7"/>
      <c r="N93" s="7"/>
      <c r="O93" s="7"/>
    </row>
    <row r="94" spans="1:15" ht="22.05" customHeight="1">
      <c r="A94" s="5" t="s">
        <v>76</v>
      </c>
      <c r="B94" s="5" t="s">
        <v>94</v>
      </c>
      <c r="C94" s="5" t="s">
        <v>95</v>
      </c>
      <c r="D94" s="5" t="s">
        <v>399</v>
      </c>
      <c r="E94" s="6">
        <v>10.76</v>
      </c>
      <c r="F94" s="6">
        <v>10.76</v>
      </c>
      <c r="G94" s="5" t="s">
        <v>352</v>
      </c>
      <c r="H94" s="5" t="s">
        <v>400</v>
      </c>
      <c r="I94" s="5" t="s">
        <v>401</v>
      </c>
      <c r="J94" s="5" t="s">
        <v>352</v>
      </c>
      <c r="K94" s="5"/>
      <c r="L94" s="7"/>
      <c r="M94" s="7"/>
      <c r="N94" s="7"/>
      <c r="O94" s="7"/>
    </row>
    <row r="95" spans="1:15" ht="22.05" customHeight="1">
      <c r="A95" s="5" t="s">
        <v>76</v>
      </c>
      <c r="B95" s="5" t="s">
        <v>96</v>
      </c>
      <c r="C95" s="5" t="s">
        <v>97</v>
      </c>
      <c r="D95" s="5" t="s">
        <v>402</v>
      </c>
      <c r="E95" s="6">
        <v>-15.708</v>
      </c>
      <c r="F95" s="6">
        <v>15.708</v>
      </c>
      <c r="G95" s="5" t="s">
        <v>169</v>
      </c>
      <c r="H95" s="5" t="s">
        <v>403</v>
      </c>
      <c r="I95" s="5" t="s">
        <v>404</v>
      </c>
      <c r="J95" s="5" t="s">
        <v>169</v>
      </c>
      <c r="K95" s="5"/>
      <c r="L95" s="7"/>
      <c r="M95" s="7"/>
      <c r="N95" s="7"/>
      <c r="O95" s="7"/>
    </row>
    <row r="96" spans="1:15" ht="22.05" customHeight="1">
      <c r="A96" s="5" t="s">
        <v>76</v>
      </c>
      <c r="B96" s="5" t="s">
        <v>96</v>
      </c>
      <c r="C96" s="5" t="s">
        <v>97</v>
      </c>
      <c r="D96" s="5" t="s">
        <v>405</v>
      </c>
      <c r="E96" s="6">
        <v>-15.715</v>
      </c>
      <c r="F96" s="6">
        <v>15.715</v>
      </c>
      <c r="G96" s="5" t="s">
        <v>169</v>
      </c>
      <c r="H96" s="5" t="s">
        <v>403</v>
      </c>
      <c r="I96" s="5" t="s">
        <v>406</v>
      </c>
      <c r="J96" s="5" t="s">
        <v>169</v>
      </c>
      <c r="K96" s="5"/>
      <c r="L96" s="7"/>
      <c r="M96" s="7"/>
      <c r="N96" s="7"/>
      <c r="O96" s="7"/>
    </row>
    <row r="97" spans="1:15" ht="22.05" customHeight="1">
      <c r="A97" s="5" t="s">
        <v>76</v>
      </c>
      <c r="B97" s="5" t="s">
        <v>98</v>
      </c>
      <c r="C97" s="5" t="s">
        <v>99</v>
      </c>
      <c r="D97" s="5" t="s">
        <v>407</v>
      </c>
      <c r="E97" s="6">
        <v>-17.972000000000001</v>
      </c>
      <c r="F97" s="6">
        <v>17.972000000000001</v>
      </c>
      <c r="G97" s="5" t="s">
        <v>352</v>
      </c>
      <c r="H97" s="5" t="s">
        <v>408</v>
      </c>
      <c r="I97" s="5" t="s">
        <v>409</v>
      </c>
      <c r="J97" s="5" t="s">
        <v>352</v>
      </c>
      <c r="K97" s="5"/>
      <c r="L97" s="7"/>
      <c r="M97" s="7"/>
      <c r="N97" s="7"/>
      <c r="O97" s="7"/>
    </row>
    <row r="98" spans="1:15" ht="22.05" customHeight="1">
      <c r="A98" s="5" t="s">
        <v>76</v>
      </c>
      <c r="B98" s="5" t="s">
        <v>100</v>
      </c>
      <c r="C98" s="5" t="s">
        <v>97</v>
      </c>
      <c r="D98" s="5" t="s">
        <v>410</v>
      </c>
      <c r="E98" s="6">
        <v>19.988</v>
      </c>
      <c r="F98" s="6">
        <v>19.988</v>
      </c>
      <c r="G98" s="5" t="s">
        <v>169</v>
      </c>
      <c r="H98" s="5" t="s">
        <v>411</v>
      </c>
      <c r="I98" s="5" t="s">
        <v>412</v>
      </c>
      <c r="J98" s="5" t="s">
        <v>169</v>
      </c>
      <c r="K98" s="5"/>
      <c r="L98" s="7"/>
      <c r="M98" s="7"/>
      <c r="N98" s="7"/>
      <c r="O98" s="7"/>
    </row>
    <row r="99" spans="1:15" ht="22.05" customHeight="1">
      <c r="A99" s="5" t="s">
        <v>76</v>
      </c>
      <c r="B99" s="5" t="s">
        <v>101</v>
      </c>
      <c r="C99" s="5" t="s">
        <v>93</v>
      </c>
      <c r="D99" s="5" t="s">
        <v>413</v>
      </c>
      <c r="E99" s="6">
        <v>-20.582999999999998</v>
      </c>
      <c r="F99" s="6">
        <v>20.582999999999998</v>
      </c>
      <c r="G99" s="5" t="s">
        <v>169</v>
      </c>
      <c r="H99" s="5" t="s">
        <v>414</v>
      </c>
      <c r="I99" s="5" t="s">
        <v>415</v>
      </c>
      <c r="J99" s="5" t="s">
        <v>169</v>
      </c>
      <c r="K99" s="5"/>
      <c r="L99" s="7"/>
      <c r="M99" s="7"/>
      <c r="N99" s="7"/>
      <c r="O99" s="7"/>
    </row>
    <row r="100" spans="1:15" ht="22.05" customHeight="1">
      <c r="A100" s="5" t="s">
        <v>76</v>
      </c>
      <c r="B100" s="5" t="s">
        <v>102</v>
      </c>
      <c r="C100" s="5" t="s">
        <v>103</v>
      </c>
      <c r="D100" s="5" t="s">
        <v>416</v>
      </c>
      <c r="E100" s="6">
        <v>-20.638000000000002</v>
      </c>
      <c r="F100" s="6">
        <v>20.638000000000002</v>
      </c>
      <c r="G100" s="5" t="s">
        <v>169</v>
      </c>
      <c r="H100" s="5" t="s">
        <v>417</v>
      </c>
      <c r="I100" s="5" t="s">
        <v>418</v>
      </c>
      <c r="J100" s="5" t="s">
        <v>169</v>
      </c>
      <c r="K100" s="5"/>
      <c r="L100" s="7"/>
      <c r="M100" s="7"/>
      <c r="N100" s="7"/>
      <c r="O100" s="7"/>
    </row>
    <row r="101" spans="1:15" ht="22.05" customHeight="1">
      <c r="A101" s="5" t="s">
        <v>76</v>
      </c>
      <c r="B101" s="5" t="s">
        <v>104</v>
      </c>
      <c r="C101" s="5" t="s">
        <v>105</v>
      </c>
      <c r="D101" s="5" t="s">
        <v>419</v>
      </c>
      <c r="E101" s="6">
        <v>24.106000000000002</v>
      </c>
      <c r="F101" s="6">
        <v>24.106000000000002</v>
      </c>
      <c r="G101" s="5" t="s">
        <v>352</v>
      </c>
      <c r="H101" s="5" t="s">
        <v>420</v>
      </c>
      <c r="I101" s="5" t="s">
        <v>421</v>
      </c>
      <c r="J101" s="5" t="s">
        <v>352</v>
      </c>
      <c r="K101" s="5"/>
      <c r="L101" s="7"/>
      <c r="M101" s="7"/>
      <c r="N101" s="7"/>
      <c r="O101" s="7"/>
    </row>
    <row r="102" spans="1:15" ht="22.05" customHeight="1">
      <c r="A102" s="5" t="s">
        <v>76</v>
      </c>
      <c r="B102" s="5" t="s">
        <v>106</v>
      </c>
      <c r="C102" s="5" t="s">
        <v>107</v>
      </c>
      <c r="D102" s="5" t="s">
        <v>422</v>
      </c>
      <c r="E102" s="6">
        <v>-28.254000000000001</v>
      </c>
      <c r="F102" s="6">
        <v>28.254000000000001</v>
      </c>
      <c r="G102" s="5" t="s">
        <v>169</v>
      </c>
      <c r="H102" s="5" t="s">
        <v>423</v>
      </c>
      <c r="I102" s="5" t="s">
        <v>424</v>
      </c>
      <c r="J102" s="5" t="s">
        <v>169</v>
      </c>
      <c r="K102" s="5"/>
      <c r="L102" s="7"/>
      <c r="M102" s="7"/>
      <c r="N102" s="7"/>
      <c r="O102" s="7"/>
    </row>
    <row r="103" spans="1:15" ht="22.05" customHeight="1">
      <c r="A103" s="5" t="s">
        <v>76</v>
      </c>
      <c r="B103" s="5" t="s">
        <v>108</v>
      </c>
      <c r="C103" s="5" t="s">
        <v>109</v>
      </c>
      <c r="D103" s="5" t="s">
        <v>425</v>
      </c>
      <c r="E103" s="6">
        <v>28.937999999999999</v>
      </c>
      <c r="F103" s="6">
        <v>28.937999999999999</v>
      </c>
      <c r="G103" s="5" t="s">
        <v>352</v>
      </c>
      <c r="H103" s="5" t="s">
        <v>426</v>
      </c>
      <c r="I103" s="5" t="s">
        <v>427</v>
      </c>
      <c r="J103" s="5" t="s">
        <v>352</v>
      </c>
      <c r="K103" s="5"/>
      <c r="L103" s="7"/>
      <c r="M103" s="7"/>
      <c r="N103" s="7"/>
      <c r="O103" s="7"/>
    </row>
    <row r="104" spans="1:15" ht="22.05" customHeight="1">
      <c r="A104" s="5" t="s">
        <v>76</v>
      </c>
      <c r="B104" s="5" t="s">
        <v>108</v>
      </c>
      <c r="C104" s="5" t="s">
        <v>109</v>
      </c>
      <c r="D104" s="5" t="s">
        <v>428</v>
      </c>
      <c r="E104" s="6">
        <v>28.945</v>
      </c>
      <c r="F104" s="6">
        <v>28.945</v>
      </c>
      <c r="G104" s="5" t="s">
        <v>352</v>
      </c>
      <c r="H104" s="5" t="s">
        <v>426</v>
      </c>
      <c r="I104" s="5" t="s">
        <v>429</v>
      </c>
      <c r="J104" s="5" t="s">
        <v>352</v>
      </c>
      <c r="K104" s="5"/>
      <c r="L104" s="7"/>
      <c r="M104" s="7"/>
      <c r="N104" s="7"/>
      <c r="O104" s="7"/>
    </row>
    <row r="105" spans="1:15" ht="22.05" customHeight="1">
      <c r="A105" s="5" t="s">
        <v>76</v>
      </c>
      <c r="B105" s="5" t="s">
        <v>110</v>
      </c>
      <c r="C105" s="5" t="s">
        <v>111</v>
      </c>
      <c r="D105" s="5" t="s">
        <v>430</v>
      </c>
      <c r="E105" s="6">
        <v>-29.693999999999999</v>
      </c>
      <c r="F105" s="6">
        <v>29.693999999999999</v>
      </c>
      <c r="G105" s="5" t="s">
        <v>352</v>
      </c>
      <c r="H105" s="5" t="s">
        <v>431</v>
      </c>
      <c r="I105" s="5" t="s">
        <v>432</v>
      </c>
      <c r="J105" s="5" t="s">
        <v>352</v>
      </c>
      <c r="K105" s="5"/>
      <c r="L105" s="7"/>
      <c r="M105" s="7"/>
      <c r="N105" s="7"/>
      <c r="O105" s="7"/>
    </row>
    <row r="106" spans="1:15" ht="22.05" customHeight="1">
      <c r="A106" s="5" t="s">
        <v>76</v>
      </c>
      <c r="B106" s="5" t="s">
        <v>110</v>
      </c>
      <c r="C106" s="5" t="s">
        <v>111</v>
      </c>
      <c r="D106" s="5" t="s">
        <v>433</v>
      </c>
      <c r="E106" s="6">
        <v>29.97</v>
      </c>
      <c r="F106" s="6">
        <v>29.97</v>
      </c>
      <c r="G106" s="5" t="s">
        <v>352</v>
      </c>
      <c r="H106" s="5" t="s">
        <v>431</v>
      </c>
      <c r="I106" s="5" t="s">
        <v>434</v>
      </c>
      <c r="J106" s="5" t="s">
        <v>352</v>
      </c>
      <c r="K106" s="5"/>
      <c r="L106" s="7"/>
      <c r="M106" s="7"/>
      <c r="N106" s="7"/>
      <c r="O106" s="7"/>
    </row>
    <row r="107" spans="1:15" ht="22.05" customHeight="1">
      <c r="A107" s="5" t="s">
        <v>76</v>
      </c>
      <c r="B107" s="5" t="s">
        <v>110</v>
      </c>
      <c r="C107" s="5" t="s">
        <v>111</v>
      </c>
      <c r="D107" s="5" t="s">
        <v>435</v>
      </c>
      <c r="E107" s="6">
        <v>29.977</v>
      </c>
      <c r="F107" s="6">
        <v>29.977</v>
      </c>
      <c r="G107" s="5" t="s">
        <v>352</v>
      </c>
      <c r="H107" s="5" t="s">
        <v>431</v>
      </c>
      <c r="I107" s="5" t="s">
        <v>436</v>
      </c>
      <c r="J107" s="5" t="s">
        <v>352</v>
      </c>
      <c r="K107" s="5"/>
      <c r="L107" s="7"/>
      <c r="M107" s="7"/>
      <c r="N107" s="7"/>
      <c r="O107" s="7"/>
    </row>
    <row r="108" spans="1:15" ht="22.05" customHeight="1">
      <c r="A108" s="5" t="s">
        <v>76</v>
      </c>
      <c r="B108" s="5" t="s">
        <v>112</v>
      </c>
      <c r="C108" s="5" t="s">
        <v>113</v>
      </c>
      <c r="D108" s="5" t="s">
        <v>437</v>
      </c>
      <c r="E108" s="6">
        <v>30.32</v>
      </c>
      <c r="F108" s="6">
        <v>30.32</v>
      </c>
      <c r="G108" s="5" t="s">
        <v>352</v>
      </c>
      <c r="H108" s="5" t="s">
        <v>438</v>
      </c>
      <c r="I108" s="5" t="s">
        <v>439</v>
      </c>
      <c r="J108" s="5" t="s">
        <v>352</v>
      </c>
      <c r="K108" s="5"/>
      <c r="L108" s="7"/>
      <c r="M108" s="7"/>
      <c r="N108" s="7"/>
      <c r="O108" s="7"/>
    </row>
    <row r="109" spans="1:15" ht="22.05" customHeight="1">
      <c r="A109" s="5" t="s">
        <v>76</v>
      </c>
      <c r="B109" s="5" t="s">
        <v>114</v>
      </c>
      <c r="C109" s="5" t="s">
        <v>115</v>
      </c>
      <c r="D109" s="5" t="s">
        <v>440</v>
      </c>
      <c r="E109" s="6">
        <v>31.03</v>
      </c>
      <c r="F109" s="6">
        <v>31.03</v>
      </c>
      <c r="G109" s="5" t="s">
        <v>352</v>
      </c>
      <c r="H109" s="5" t="s">
        <v>441</v>
      </c>
      <c r="I109" s="5" t="s">
        <v>442</v>
      </c>
      <c r="J109" s="5" t="s">
        <v>352</v>
      </c>
      <c r="K109" s="5"/>
      <c r="L109" s="7"/>
      <c r="M109" s="7"/>
      <c r="N109" s="7"/>
      <c r="O109" s="7"/>
    </row>
    <row r="110" spans="1:15" ht="22.05" customHeight="1">
      <c r="A110" s="5" t="s">
        <v>76</v>
      </c>
      <c r="B110" s="5" t="s">
        <v>116</v>
      </c>
      <c r="C110" s="5" t="s">
        <v>117</v>
      </c>
      <c r="D110" s="5" t="s">
        <v>443</v>
      </c>
      <c r="E110" s="6">
        <v>35.976999999999997</v>
      </c>
      <c r="F110" s="6">
        <v>35.976999999999997</v>
      </c>
      <c r="G110" s="5" t="s">
        <v>352</v>
      </c>
      <c r="H110" s="5" t="s">
        <v>444</v>
      </c>
      <c r="I110" s="5" t="s">
        <v>445</v>
      </c>
      <c r="J110" s="5" t="s">
        <v>352</v>
      </c>
      <c r="K110" s="5"/>
      <c r="L110" s="7"/>
      <c r="M110" s="7"/>
      <c r="N110" s="7"/>
      <c r="O110" s="7"/>
    </row>
    <row r="111" spans="1:15" ht="22.05" customHeight="1">
      <c r="A111" s="5" t="s">
        <v>76</v>
      </c>
      <c r="B111" s="5" t="s">
        <v>118</v>
      </c>
      <c r="C111" s="5" t="s">
        <v>119</v>
      </c>
      <c r="D111" s="5" t="s">
        <v>446</v>
      </c>
      <c r="E111" s="6">
        <v>-37.936</v>
      </c>
      <c r="F111" s="6">
        <v>37.936</v>
      </c>
      <c r="G111" s="5" t="s">
        <v>352</v>
      </c>
      <c r="H111" s="5" t="s">
        <v>447</v>
      </c>
      <c r="I111" s="5" t="s">
        <v>448</v>
      </c>
      <c r="J111" s="5" t="s">
        <v>352</v>
      </c>
      <c r="K111" s="5"/>
      <c r="L111" s="7"/>
      <c r="M111" s="7"/>
      <c r="N111" s="7"/>
      <c r="O111" s="7"/>
    </row>
    <row r="112" spans="1:15" ht="22.05" customHeight="1">
      <c r="A112" s="5" t="s">
        <v>76</v>
      </c>
      <c r="B112" s="5" t="s">
        <v>120</v>
      </c>
      <c r="C112" s="5" t="s">
        <v>121</v>
      </c>
      <c r="D112" s="5" t="s">
        <v>449</v>
      </c>
      <c r="E112" s="6">
        <v>-42.116</v>
      </c>
      <c r="F112" s="6">
        <v>42.116</v>
      </c>
      <c r="G112" s="5" t="s">
        <v>352</v>
      </c>
      <c r="H112" s="5" t="s">
        <v>450</v>
      </c>
      <c r="I112" s="5" t="s">
        <v>451</v>
      </c>
      <c r="J112" s="5" t="s">
        <v>352</v>
      </c>
      <c r="K112" s="5"/>
      <c r="L112" s="7"/>
      <c r="M112" s="7"/>
      <c r="N112" s="7"/>
      <c r="O112" s="7"/>
    </row>
    <row r="113" spans="1:15" ht="22.05" customHeight="1">
      <c r="A113" s="5" t="s">
        <v>76</v>
      </c>
      <c r="B113" s="5" t="s">
        <v>120</v>
      </c>
      <c r="C113" s="5" t="s">
        <v>121</v>
      </c>
      <c r="D113" s="5" t="s">
        <v>452</v>
      </c>
      <c r="E113" s="6">
        <v>-42.122999999999998</v>
      </c>
      <c r="F113" s="6">
        <v>42.122999999999998</v>
      </c>
      <c r="G113" s="5" t="s">
        <v>352</v>
      </c>
      <c r="H113" s="5" t="s">
        <v>450</v>
      </c>
      <c r="I113" s="5" t="s">
        <v>453</v>
      </c>
      <c r="J113" s="5" t="s">
        <v>352</v>
      </c>
      <c r="K113" s="5"/>
      <c r="L113" s="7"/>
      <c r="M113" s="7"/>
      <c r="N113" s="7"/>
      <c r="O113" s="7"/>
    </row>
    <row r="114" spans="1:15" ht="22.05" customHeight="1">
      <c r="A114" s="5" t="s">
        <v>76</v>
      </c>
      <c r="B114" s="5" t="s">
        <v>122</v>
      </c>
      <c r="C114" s="5" t="s">
        <v>82</v>
      </c>
      <c r="D114" s="5" t="s">
        <v>454</v>
      </c>
      <c r="E114" s="6">
        <v>43.134</v>
      </c>
      <c r="F114" s="6">
        <v>43.134</v>
      </c>
      <c r="G114" s="5" t="s">
        <v>169</v>
      </c>
      <c r="H114" s="5" t="s">
        <v>455</v>
      </c>
      <c r="I114" s="5" t="s">
        <v>456</v>
      </c>
      <c r="J114" s="5" t="s">
        <v>169</v>
      </c>
      <c r="K114" s="5"/>
      <c r="L114" s="7"/>
      <c r="M114" s="7"/>
      <c r="N114" s="7"/>
      <c r="O114" s="7"/>
    </row>
    <row r="115" spans="1:15" ht="22.05" customHeight="1">
      <c r="A115" s="5" t="s">
        <v>76</v>
      </c>
      <c r="B115" s="5" t="s">
        <v>123</v>
      </c>
      <c r="C115" s="5" t="s">
        <v>124</v>
      </c>
      <c r="D115" s="5" t="s">
        <v>457</v>
      </c>
      <c r="E115" s="6">
        <v>-45.121000000000002</v>
      </c>
      <c r="F115" s="6">
        <v>45.121000000000002</v>
      </c>
      <c r="G115" s="5" t="s">
        <v>352</v>
      </c>
      <c r="H115" s="5" t="s">
        <v>458</v>
      </c>
      <c r="I115" s="5" t="s">
        <v>459</v>
      </c>
      <c r="J115" s="5" t="s">
        <v>352</v>
      </c>
      <c r="K115" s="5"/>
      <c r="L115" s="7"/>
      <c r="M115" s="7"/>
      <c r="N115" s="7"/>
      <c r="O115" s="7"/>
    </row>
    <row r="116" spans="1:15" ht="22.05" customHeight="1">
      <c r="A116" s="5" t="s">
        <v>76</v>
      </c>
      <c r="B116" s="5" t="s">
        <v>125</v>
      </c>
      <c r="C116" s="5" t="s">
        <v>126</v>
      </c>
      <c r="D116" s="5" t="s">
        <v>460</v>
      </c>
      <c r="E116" s="6">
        <v>46.905000000000001</v>
      </c>
      <c r="F116" s="6">
        <v>46.905000000000001</v>
      </c>
      <c r="G116" s="5" t="s">
        <v>352</v>
      </c>
      <c r="H116" s="5" t="s">
        <v>461</v>
      </c>
      <c r="I116" s="5" t="s">
        <v>462</v>
      </c>
      <c r="J116" s="5" t="s">
        <v>352</v>
      </c>
      <c r="K116" s="5"/>
      <c r="L116" s="7"/>
      <c r="M116" s="7"/>
      <c r="N116" s="7"/>
      <c r="O116" s="7"/>
    </row>
    <row r="117" spans="1:15" ht="22.05" customHeight="1">
      <c r="A117" s="5" t="s">
        <v>76</v>
      </c>
      <c r="B117" s="5" t="s">
        <v>125</v>
      </c>
      <c r="C117" s="5" t="s">
        <v>126</v>
      </c>
      <c r="D117" s="5" t="s">
        <v>463</v>
      </c>
      <c r="E117" s="6">
        <v>46.912999999999997</v>
      </c>
      <c r="F117" s="6">
        <v>46.912999999999997</v>
      </c>
      <c r="G117" s="5" t="s">
        <v>352</v>
      </c>
      <c r="H117" s="5" t="s">
        <v>461</v>
      </c>
      <c r="I117" s="5" t="s">
        <v>464</v>
      </c>
      <c r="J117" s="5" t="s">
        <v>352</v>
      </c>
      <c r="K117" s="5"/>
      <c r="L117" s="7"/>
      <c r="M117" s="7"/>
      <c r="N117" s="7"/>
      <c r="O117" s="7"/>
    </row>
    <row r="118" spans="1:15" ht="22.05" customHeight="1">
      <c r="A118" s="5" t="s">
        <v>76</v>
      </c>
      <c r="B118" s="5" t="s">
        <v>127</v>
      </c>
      <c r="C118" s="5" t="s">
        <v>128</v>
      </c>
      <c r="D118" s="5" t="s">
        <v>465</v>
      </c>
      <c r="E118" s="6">
        <v>-52.716000000000001</v>
      </c>
      <c r="F118" s="6">
        <v>52.716000000000001</v>
      </c>
      <c r="G118" s="5" t="s">
        <v>352</v>
      </c>
      <c r="H118" s="5" t="s">
        <v>466</v>
      </c>
      <c r="I118" s="5" t="s">
        <v>467</v>
      </c>
      <c r="J118" s="5" t="s">
        <v>352</v>
      </c>
      <c r="K118" s="5"/>
      <c r="L118" s="7"/>
      <c r="M118" s="7"/>
      <c r="N118" s="7"/>
      <c r="O118" s="7"/>
    </row>
    <row r="119" spans="1:15" ht="22.05" customHeight="1">
      <c r="A119" s="5" t="s">
        <v>76</v>
      </c>
      <c r="B119" s="5" t="s">
        <v>127</v>
      </c>
      <c r="C119" s="5" t="s">
        <v>128</v>
      </c>
      <c r="D119" s="5" t="s">
        <v>468</v>
      </c>
      <c r="E119" s="6">
        <v>-52.722999999999999</v>
      </c>
      <c r="F119" s="6">
        <v>52.722999999999999</v>
      </c>
      <c r="G119" s="5" t="s">
        <v>352</v>
      </c>
      <c r="H119" s="5" t="s">
        <v>466</v>
      </c>
      <c r="I119" s="5" t="s">
        <v>469</v>
      </c>
      <c r="J119" s="5" t="s">
        <v>352</v>
      </c>
      <c r="K119" s="5"/>
      <c r="L119" s="7"/>
      <c r="M119" s="7"/>
      <c r="N119" s="7"/>
      <c r="O119" s="7"/>
    </row>
    <row r="120" spans="1:15" ht="22.05" customHeight="1">
      <c r="A120" s="5" t="s">
        <v>76</v>
      </c>
      <c r="B120" s="5" t="s">
        <v>129</v>
      </c>
      <c r="C120" s="5" t="s">
        <v>91</v>
      </c>
      <c r="D120" s="5" t="s">
        <v>470</v>
      </c>
      <c r="E120" s="6">
        <v>56.524999999999999</v>
      </c>
      <c r="F120" s="6">
        <v>56.524999999999999</v>
      </c>
      <c r="G120" s="5" t="s">
        <v>169</v>
      </c>
      <c r="H120" s="5" t="s">
        <v>471</v>
      </c>
      <c r="I120" s="5" t="s">
        <v>472</v>
      </c>
      <c r="J120" s="5" t="s">
        <v>169</v>
      </c>
      <c r="K120" s="5"/>
      <c r="L120" s="7"/>
      <c r="M120" s="7"/>
      <c r="N120" s="7"/>
      <c r="O120" s="7"/>
    </row>
    <row r="121" spans="1:15" ht="22.05" customHeight="1">
      <c r="A121" s="5" t="s">
        <v>76</v>
      </c>
      <c r="B121" s="5" t="s">
        <v>129</v>
      </c>
      <c r="C121" s="5" t="s">
        <v>91</v>
      </c>
      <c r="D121" s="5" t="s">
        <v>473</v>
      </c>
      <c r="E121" s="6">
        <v>-63.610999999999997</v>
      </c>
      <c r="F121" s="6">
        <v>63.610999999999997</v>
      </c>
      <c r="G121" s="5" t="s">
        <v>169</v>
      </c>
      <c r="H121" s="5" t="s">
        <v>471</v>
      </c>
      <c r="I121" s="5" t="s">
        <v>474</v>
      </c>
      <c r="J121" s="5" t="s">
        <v>169</v>
      </c>
      <c r="K121" s="5"/>
      <c r="L121" s="7"/>
      <c r="M121" s="7"/>
      <c r="N121" s="7"/>
      <c r="O121" s="7"/>
    </row>
    <row r="122" spans="1:15" ht="22.05" customHeight="1">
      <c r="A122" s="5" t="s">
        <v>76</v>
      </c>
      <c r="B122" s="5" t="s">
        <v>130</v>
      </c>
      <c r="C122" s="5" t="s">
        <v>97</v>
      </c>
      <c r="D122" s="5" t="s">
        <v>475</v>
      </c>
      <c r="E122" s="6">
        <v>-63.552999999999997</v>
      </c>
      <c r="F122" s="6">
        <v>63.552999999999997</v>
      </c>
      <c r="G122" s="5" t="s">
        <v>169</v>
      </c>
      <c r="H122" s="5" t="s">
        <v>476</v>
      </c>
      <c r="I122" s="5" t="s">
        <v>477</v>
      </c>
      <c r="J122" s="5" t="s">
        <v>169</v>
      </c>
      <c r="K122" s="5"/>
      <c r="L122" s="7"/>
      <c r="M122" s="7"/>
      <c r="N122" s="7"/>
      <c r="O122" s="7"/>
    </row>
    <row r="123" spans="1:15" ht="22.05" customHeight="1">
      <c r="A123" s="5" t="s">
        <v>76</v>
      </c>
      <c r="B123" s="5" t="s">
        <v>131</v>
      </c>
      <c r="C123" s="5" t="s">
        <v>103</v>
      </c>
      <c r="D123" s="5" t="s">
        <v>478</v>
      </c>
      <c r="E123" s="6">
        <v>-63.651000000000003</v>
      </c>
      <c r="F123" s="6">
        <v>63.651000000000003</v>
      </c>
      <c r="G123" s="5" t="s">
        <v>169</v>
      </c>
      <c r="H123" s="5" t="s">
        <v>479</v>
      </c>
      <c r="I123" s="5" t="s">
        <v>480</v>
      </c>
      <c r="J123" s="5" t="s">
        <v>169</v>
      </c>
      <c r="K123" s="5"/>
      <c r="L123" s="7"/>
      <c r="M123" s="7"/>
      <c r="N123" s="7"/>
      <c r="O123" s="7"/>
    </row>
    <row r="124" spans="1:15" ht="22.05" customHeight="1">
      <c r="A124" s="5" t="s">
        <v>76</v>
      </c>
      <c r="B124" s="5" t="s">
        <v>131</v>
      </c>
      <c r="C124" s="5" t="s">
        <v>103</v>
      </c>
      <c r="D124" s="5" t="s">
        <v>481</v>
      </c>
      <c r="E124" s="6">
        <v>-63.656999999999996</v>
      </c>
      <c r="F124" s="6">
        <v>63.656999999999996</v>
      </c>
      <c r="G124" s="5" t="s">
        <v>169</v>
      </c>
      <c r="H124" s="5" t="s">
        <v>479</v>
      </c>
      <c r="I124" s="5" t="s">
        <v>482</v>
      </c>
      <c r="J124" s="5" t="s">
        <v>169</v>
      </c>
      <c r="K124" s="5"/>
      <c r="L124" s="7"/>
      <c r="M124" s="7"/>
      <c r="N124" s="7"/>
      <c r="O124" s="7"/>
    </row>
    <row r="125" spans="1:15" ht="22.05" customHeight="1">
      <c r="A125" s="5" t="s">
        <v>76</v>
      </c>
      <c r="B125" s="5" t="s">
        <v>132</v>
      </c>
      <c r="C125" s="5" t="s">
        <v>133</v>
      </c>
      <c r="D125" s="5" t="s">
        <v>483</v>
      </c>
      <c r="E125" s="6">
        <v>-63.719000000000001</v>
      </c>
      <c r="F125" s="6">
        <v>63.719000000000001</v>
      </c>
      <c r="G125" s="5" t="s">
        <v>484</v>
      </c>
      <c r="H125" s="5" t="s">
        <v>485</v>
      </c>
      <c r="I125" s="5" t="s">
        <v>486</v>
      </c>
      <c r="J125" s="5" t="s">
        <v>484</v>
      </c>
      <c r="K125" s="5"/>
      <c r="L125" s="7"/>
      <c r="M125" s="7"/>
      <c r="N125" s="7"/>
      <c r="O125" s="7"/>
    </row>
    <row r="126" spans="1:15" ht="22.05" customHeight="1">
      <c r="A126" s="5" t="s">
        <v>76</v>
      </c>
      <c r="B126" s="5" t="s">
        <v>134</v>
      </c>
      <c r="C126" s="5" t="s">
        <v>97</v>
      </c>
      <c r="D126" s="5" t="s">
        <v>487</v>
      </c>
      <c r="E126" s="6">
        <v>-63.924999999999997</v>
      </c>
      <c r="F126" s="6">
        <v>63.924999999999997</v>
      </c>
      <c r="G126" s="5" t="s">
        <v>169</v>
      </c>
      <c r="H126" s="5" t="s">
        <v>488</v>
      </c>
      <c r="I126" s="5" t="s">
        <v>489</v>
      </c>
      <c r="J126" s="5" t="s">
        <v>169</v>
      </c>
      <c r="K126" s="5"/>
      <c r="L126" s="7"/>
      <c r="M126" s="7"/>
      <c r="N126" s="7"/>
      <c r="O126" s="7"/>
    </row>
    <row r="127" spans="1:15" ht="22.05" customHeight="1">
      <c r="A127" s="5" t="s">
        <v>76</v>
      </c>
      <c r="B127" s="5" t="s">
        <v>134</v>
      </c>
      <c r="C127" s="5" t="s">
        <v>97</v>
      </c>
      <c r="D127" s="5" t="s">
        <v>490</v>
      </c>
      <c r="E127" s="6">
        <v>-63.932000000000002</v>
      </c>
      <c r="F127" s="6">
        <v>63.932000000000002</v>
      </c>
      <c r="G127" s="5" t="s">
        <v>169</v>
      </c>
      <c r="H127" s="5" t="s">
        <v>488</v>
      </c>
      <c r="I127" s="5" t="s">
        <v>491</v>
      </c>
      <c r="J127" s="5" t="s">
        <v>169</v>
      </c>
      <c r="K127" s="5"/>
      <c r="L127" s="7"/>
      <c r="M127" s="7"/>
      <c r="N127" s="7"/>
      <c r="O127" s="7"/>
    </row>
    <row r="128" spans="1:15" ht="22.05" customHeight="1">
      <c r="A128" s="5" t="s">
        <v>76</v>
      </c>
      <c r="B128" s="5" t="s">
        <v>135</v>
      </c>
      <c r="C128" s="5" t="s">
        <v>97</v>
      </c>
      <c r="D128" s="5" t="s">
        <v>492</v>
      </c>
      <c r="E128" s="6">
        <v>67.537000000000006</v>
      </c>
      <c r="F128" s="6">
        <v>67.537000000000006</v>
      </c>
      <c r="G128" s="5" t="s">
        <v>169</v>
      </c>
      <c r="H128" s="5" t="s">
        <v>493</v>
      </c>
      <c r="I128" s="5" t="s">
        <v>494</v>
      </c>
      <c r="J128" s="5" t="s">
        <v>169</v>
      </c>
      <c r="K128" s="5"/>
      <c r="L128" s="7"/>
      <c r="M128" s="7"/>
      <c r="N128" s="7"/>
      <c r="O128" s="7"/>
    </row>
    <row r="129" spans="1:15" ht="22.05" customHeight="1">
      <c r="A129" s="5" t="s">
        <v>136</v>
      </c>
      <c r="B129" s="5" t="s">
        <v>137</v>
      </c>
      <c r="C129" s="5" t="s">
        <v>138</v>
      </c>
      <c r="D129" s="5" t="s">
        <v>495</v>
      </c>
      <c r="E129" s="6">
        <v>-4.43</v>
      </c>
      <c r="F129" s="6">
        <v>4.43</v>
      </c>
      <c r="G129" s="5" t="s">
        <v>496</v>
      </c>
      <c r="H129" s="5" t="s">
        <v>497</v>
      </c>
      <c r="I129" s="5" t="s">
        <v>498</v>
      </c>
      <c r="J129" s="5" t="s">
        <v>499</v>
      </c>
      <c r="K129" s="5"/>
      <c r="L129" s="7"/>
      <c r="M129" s="7"/>
      <c r="N129" s="7"/>
      <c r="O129" s="7"/>
    </row>
    <row r="130" spans="1:15" ht="22.05" customHeight="1">
      <c r="A130" s="5" t="s">
        <v>136</v>
      </c>
      <c r="B130" s="5" t="s">
        <v>137</v>
      </c>
      <c r="C130" s="5" t="s">
        <v>138</v>
      </c>
      <c r="D130" s="5" t="s">
        <v>500</v>
      </c>
      <c r="E130" s="6">
        <v>56.58</v>
      </c>
      <c r="F130" s="6">
        <v>56.58</v>
      </c>
      <c r="G130" s="5" t="s">
        <v>496</v>
      </c>
      <c r="H130" s="5" t="s">
        <v>497</v>
      </c>
      <c r="I130" s="5" t="s">
        <v>501</v>
      </c>
      <c r="J130" s="5" t="s">
        <v>496</v>
      </c>
      <c r="K130" s="5"/>
      <c r="L130" s="7"/>
      <c r="M130" s="7"/>
      <c r="N130" s="7"/>
      <c r="O130" s="7"/>
    </row>
    <row r="131" spans="1:15" ht="22.05" customHeight="1">
      <c r="A131" s="5" t="s">
        <v>136</v>
      </c>
      <c r="B131" s="5" t="s">
        <v>137</v>
      </c>
      <c r="C131" s="5" t="s">
        <v>138</v>
      </c>
      <c r="D131" s="5" t="s">
        <v>502</v>
      </c>
      <c r="E131" s="6">
        <v>-63.02</v>
      </c>
      <c r="F131" s="6">
        <v>63.02</v>
      </c>
      <c r="G131" s="5" t="s">
        <v>496</v>
      </c>
      <c r="H131" s="5" t="s">
        <v>503</v>
      </c>
      <c r="I131" s="5" t="s">
        <v>504</v>
      </c>
      <c r="J131" s="5" t="s">
        <v>499</v>
      </c>
      <c r="K131" s="5"/>
      <c r="L131" s="7"/>
      <c r="M131" s="7"/>
      <c r="N131" s="7"/>
      <c r="O131" s="7"/>
    </row>
    <row r="132" spans="1:15" ht="22.05" customHeight="1">
      <c r="A132" s="5" t="s">
        <v>136</v>
      </c>
      <c r="B132" s="5" t="s">
        <v>139</v>
      </c>
      <c r="C132" s="5" t="s">
        <v>140</v>
      </c>
      <c r="D132" s="5" t="s">
        <v>505</v>
      </c>
      <c r="E132" s="6">
        <v>-15.46</v>
      </c>
      <c r="F132" s="6">
        <v>15.46</v>
      </c>
      <c r="G132" s="5" t="s">
        <v>496</v>
      </c>
      <c r="H132" s="5" t="s">
        <v>506</v>
      </c>
      <c r="I132" s="5" t="s">
        <v>507</v>
      </c>
      <c r="J132" s="5" t="s">
        <v>496</v>
      </c>
      <c r="K132" s="5"/>
      <c r="L132" s="7"/>
      <c r="M132" s="7"/>
      <c r="N132" s="7"/>
      <c r="O132" s="7"/>
    </row>
    <row r="133" spans="1:15" ht="22.05" customHeight="1">
      <c r="A133" s="5" t="s">
        <v>136</v>
      </c>
      <c r="B133" s="5" t="s">
        <v>141</v>
      </c>
      <c r="C133" s="5" t="s">
        <v>142</v>
      </c>
      <c r="D133" s="5" t="s">
        <v>508</v>
      </c>
      <c r="E133" s="6">
        <v>-15.51</v>
      </c>
      <c r="F133" s="6">
        <v>15.51</v>
      </c>
      <c r="G133" s="5" t="s">
        <v>496</v>
      </c>
      <c r="H133" s="5" t="s">
        <v>509</v>
      </c>
      <c r="I133" s="5" t="s">
        <v>510</v>
      </c>
      <c r="J133" s="5" t="s">
        <v>496</v>
      </c>
      <c r="K133" s="5"/>
      <c r="L133" s="7"/>
      <c r="M133" s="7"/>
      <c r="N133" s="7"/>
      <c r="O133" s="7"/>
    </row>
    <row r="134" spans="1:15" ht="22.05" customHeight="1">
      <c r="A134" s="5" t="s">
        <v>136</v>
      </c>
      <c r="B134" s="5" t="s">
        <v>143</v>
      </c>
      <c r="C134" s="5" t="s">
        <v>142</v>
      </c>
      <c r="D134" s="5" t="s">
        <v>511</v>
      </c>
      <c r="E134" s="6">
        <v>17.16</v>
      </c>
      <c r="F134" s="6">
        <v>17.16</v>
      </c>
      <c r="G134" s="5" t="s">
        <v>496</v>
      </c>
      <c r="H134" s="5" t="s">
        <v>512</v>
      </c>
      <c r="I134" s="5" t="s">
        <v>513</v>
      </c>
      <c r="J134" s="5" t="s">
        <v>496</v>
      </c>
      <c r="K134" s="5"/>
      <c r="L134" s="7"/>
      <c r="M134" s="7"/>
      <c r="N134" s="7"/>
      <c r="O134" s="7"/>
    </row>
    <row r="135" spans="1:15" ht="22.05" customHeight="1">
      <c r="A135" s="5" t="s">
        <v>136</v>
      </c>
      <c r="B135" s="5" t="s">
        <v>143</v>
      </c>
      <c r="C135" s="5" t="s">
        <v>142</v>
      </c>
      <c r="D135" s="5" t="s">
        <v>514</v>
      </c>
      <c r="E135" s="6">
        <v>-78.98</v>
      </c>
      <c r="F135" s="6">
        <v>78.98</v>
      </c>
      <c r="G135" s="5" t="s">
        <v>496</v>
      </c>
      <c r="H135" s="5" t="s">
        <v>512</v>
      </c>
      <c r="I135" s="5" t="s">
        <v>515</v>
      </c>
      <c r="J135" s="5" t="s">
        <v>496</v>
      </c>
      <c r="K135" s="5"/>
      <c r="L135" s="7"/>
      <c r="M135" s="7"/>
      <c r="N135" s="7"/>
      <c r="O135" s="7"/>
    </row>
    <row r="136" spans="1:15" ht="22.05" customHeight="1">
      <c r="A136" s="5" t="s">
        <v>136</v>
      </c>
      <c r="B136" s="5" t="s">
        <v>144</v>
      </c>
      <c r="C136" s="5" t="s">
        <v>140</v>
      </c>
      <c r="D136" s="5" t="s">
        <v>516</v>
      </c>
      <c r="E136" s="6">
        <v>57.41</v>
      </c>
      <c r="F136" s="6">
        <v>57.41</v>
      </c>
      <c r="G136" s="5" t="s">
        <v>496</v>
      </c>
      <c r="H136" s="5" t="s">
        <v>517</v>
      </c>
      <c r="I136" s="5" t="s">
        <v>518</v>
      </c>
      <c r="J136" s="5" t="s">
        <v>496</v>
      </c>
      <c r="K136" s="5"/>
      <c r="L136" s="7"/>
      <c r="M136" s="7"/>
      <c r="N136" s="7"/>
      <c r="O136" s="7"/>
    </row>
    <row r="137" spans="1:15" ht="22.05" customHeight="1">
      <c r="A137" s="5" t="s">
        <v>136</v>
      </c>
      <c r="B137" s="5" t="s">
        <v>144</v>
      </c>
      <c r="C137" s="5" t="s">
        <v>140</v>
      </c>
      <c r="D137" s="5" t="s">
        <v>519</v>
      </c>
      <c r="E137" s="6">
        <v>-62.73</v>
      </c>
      <c r="F137" s="6">
        <v>62.73</v>
      </c>
      <c r="G137" s="5" t="s">
        <v>496</v>
      </c>
      <c r="H137" s="5" t="s">
        <v>517</v>
      </c>
      <c r="I137" s="5" t="s">
        <v>520</v>
      </c>
      <c r="J137" s="5" t="s">
        <v>496</v>
      </c>
      <c r="K137" s="5"/>
      <c r="L137" s="7"/>
      <c r="M137" s="7"/>
      <c r="N137" s="7"/>
      <c r="O137" s="7"/>
    </row>
    <row r="138" spans="1:15" ht="22.05" customHeight="1">
      <c r="A138" s="5" t="s">
        <v>136</v>
      </c>
      <c r="B138" s="5" t="s">
        <v>145</v>
      </c>
      <c r="C138" s="5" t="s">
        <v>138</v>
      </c>
      <c r="D138" s="5" t="s">
        <v>521</v>
      </c>
      <c r="E138" s="6">
        <v>67.209999999999994</v>
      </c>
      <c r="F138" s="6">
        <v>67.209999999999994</v>
      </c>
      <c r="G138" s="5" t="s">
        <v>496</v>
      </c>
      <c r="H138" s="5" t="s">
        <v>522</v>
      </c>
      <c r="I138" s="5" t="s">
        <v>523</v>
      </c>
      <c r="J138" s="5" t="s">
        <v>496</v>
      </c>
      <c r="K138" s="5"/>
      <c r="L138" s="7"/>
      <c r="M138" s="7"/>
      <c r="N138" s="7"/>
      <c r="O138" s="7"/>
    </row>
    <row r="139" spans="1:15" ht="22.05" customHeight="1">
      <c r="A139" s="5" t="s">
        <v>136</v>
      </c>
      <c r="B139" s="5" t="s">
        <v>146</v>
      </c>
      <c r="C139" s="5" t="s">
        <v>138</v>
      </c>
      <c r="D139" s="5" t="s">
        <v>524</v>
      </c>
      <c r="E139" s="6">
        <v>81.03</v>
      </c>
      <c r="F139" s="6">
        <v>81.03</v>
      </c>
      <c r="G139" s="5" t="s">
        <v>496</v>
      </c>
      <c r="H139" s="5" t="s">
        <v>525</v>
      </c>
      <c r="I139" s="5" t="s">
        <v>526</v>
      </c>
      <c r="J139" s="5" t="s">
        <v>496</v>
      </c>
      <c r="K139" s="5"/>
      <c r="L139" s="7"/>
      <c r="M139" s="7"/>
      <c r="N139" s="7"/>
      <c r="O139" s="7"/>
    </row>
    <row r="140" spans="1:15" ht="22.05" customHeight="1">
      <c r="A140" s="5" t="s">
        <v>136</v>
      </c>
      <c r="B140" s="5" t="s">
        <v>146</v>
      </c>
      <c r="C140" s="5" t="s">
        <v>138</v>
      </c>
      <c r="D140" s="5" t="s">
        <v>527</v>
      </c>
      <c r="E140" s="6">
        <v>-100.07</v>
      </c>
      <c r="F140" s="6">
        <v>100.07</v>
      </c>
      <c r="G140" s="5" t="s">
        <v>496</v>
      </c>
      <c r="H140" s="5" t="s">
        <v>522</v>
      </c>
      <c r="I140" s="5" t="s">
        <v>528</v>
      </c>
      <c r="J140" s="5" t="s">
        <v>496</v>
      </c>
      <c r="K140" s="5"/>
      <c r="L140" s="7"/>
      <c r="M140" s="7"/>
      <c r="N140" s="7"/>
      <c r="O140" s="7"/>
    </row>
    <row r="141" spans="1:15" ht="22.05" customHeight="1">
      <c r="A141" s="5" t="s">
        <v>136</v>
      </c>
      <c r="B141" s="5" t="s">
        <v>147</v>
      </c>
      <c r="C141" s="5" t="s">
        <v>138</v>
      </c>
      <c r="D141" s="5" t="s">
        <v>529</v>
      </c>
      <c r="E141" s="6">
        <v>-206.48</v>
      </c>
      <c r="F141" s="6">
        <v>206.48</v>
      </c>
      <c r="G141" s="5" t="s">
        <v>496</v>
      </c>
      <c r="H141" s="5" t="s">
        <v>525</v>
      </c>
      <c r="I141" s="5" t="s">
        <v>530</v>
      </c>
      <c r="J141" s="5" t="s">
        <v>496</v>
      </c>
      <c r="K141" s="5"/>
      <c r="L141" s="7"/>
      <c r="M141" s="7"/>
      <c r="N141" s="7"/>
      <c r="O141" s="7"/>
    </row>
    <row r="142" spans="1:15" ht="22.05" customHeight="1">
      <c r="A142" s="5" t="s">
        <v>136</v>
      </c>
      <c r="B142" s="5" t="s">
        <v>148</v>
      </c>
      <c r="C142" s="5" t="s">
        <v>142</v>
      </c>
      <c r="D142" s="5" t="s">
        <v>531</v>
      </c>
      <c r="E142" s="6">
        <v>272.45</v>
      </c>
      <c r="F142" s="6">
        <v>272.45</v>
      </c>
      <c r="G142" s="5" t="s">
        <v>496</v>
      </c>
      <c r="H142" s="5" t="s">
        <v>509</v>
      </c>
      <c r="I142" s="5" t="s">
        <v>532</v>
      </c>
      <c r="J142" s="5" t="s">
        <v>496</v>
      </c>
      <c r="K142" s="5"/>
      <c r="L142" s="7"/>
      <c r="M142" s="7"/>
      <c r="N142" s="7"/>
      <c r="O142" s="7"/>
    </row>
  </sheetData>
  <conditionalFormatting sqref="L7:O142">
    <cfRule type="containsText" dxfId="2" priority="1" operator="containsText" text="Done"/>
    <cfRule type="containsText" dxfId="1" priority="2" operator="containsText" text="Blocked"/>
    <cfRule type="containsText" dxfId="0" priority="3" operator="containsText" text="In progress"/>
  </conditionalFormatting>
  <dataValidations count="1">
    <dataValidation type="list" sqref="L7:O142" xr:uid="{00000000-0002-0000-0100-000000000000}">
      <formula1>"Done,In progress,Blocked"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summary</vt:lpstr>
      <vt:lpstr>Scenes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Pretorius</cp:lastModifiedBy>
  <dcterms:modified xsi:type="dcterms:W3CDTF">2026-10-18T20:39:00Z</dcterms:modified>
</cp:coreProperties>
</file>