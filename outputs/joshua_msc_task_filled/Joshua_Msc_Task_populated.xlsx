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39a230e27f47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65620dbbf8b4473"/>
    <x:sheet xmlns:r="http://schemas.openxmlformats.org/officeDocument/2006/relationships" name="Tasks" sheetId="2" r:id="Rd7a736a2242e4743"/>
    <x:sheet xmlns:r="http://schemas.openxmlformats.org/officeDocument/2006/relationships" name="Milestones" sheetId="3" r:id="Rc7ee2774dd8b437b"/>
    <x:sheet xmlns:r="http://schemas.openxmlformats.org/officeDocument/2006/relationships" name="Meeting Log" sheetId="4" r:id="R7050210db04b4e36"/>
  </x:sheets>
</x:workbook>
</file>

<file path=xl/sharedStrings.xml><?xml version="1.0" encoding="utf-8"?>
<x:sst xmlns:x="http://schemas.openxmlformats.org/spreadsheetml/2006/main">
  <x:si>
    <x:t xml:space="preserve">Masters Tasks Tracker</x:t>
  </x:si>
  <x:si>
    <x:t xml:space="preserve">Open tasks</x:t>
  </x:si>
  <x:si>
    <x:t xml:space="preserve">Complete</x:t>
  </x:si>
  <x:si>
    <x:t xml:space="preserve">Awaiting review</x:t>
  </x:si>
  <x:si>
    <x:t xml:space="preserve">% complete</x:t>
  </x:si>
  <x:si>
    <x:t xml:space="preserve">Task status summary</x:t>
  </x:si>
  <x:si>
    <x:t xml:space="preserve">Workstream progress</x:t>
  </x:si>
  <x:si>
    <x:t xml:space="preserve">Status</x:t>
  </x:si>
  <x:si>
    <x:t xml:space="preserve">Tasks</x:t>
  </x:si>
  <x:si>
    <x:t xml:space="preserve">Workstream</x:t>
  </x:si>
  <x:si>
    <x:t xml:space="preserve">Total</x:t>
  </x:si>
  <x:si>
    <x:t xml:space="preserve">Open</x:t>
  </x:si>
  <x:si>
    <x:t xml:space="preserve">Not started</x:t>
  </x:si>
  <x:si>
    <x:t xml:space="preserve">Literature review</x:t>
  </x:si>
  <x:si>
    <x:t xml:space="preserve">In progress</x:t>
  </x:si>
  <x:si>
    <x:t xml:space="preserve">Data &amp; imagery</x:t>
  </x:si>
  <x:si>
    <x:t xml:space="preserve">Waiting for supervisor review</x:t>
  </x:si>
  <x:si>
    <x:t xml:space="preserve">Fieldwork &amp; ground truthing</x:t>
  </x:si>
  <x:si>
    <x:t xml:space="preserve">Blocked</x:t>
  </x:si>
  <x:si>
    <x:t xml:space="preserve">Methodology &amp; modelling</x:t>
  </x:si>
  <x:si>
    <x:t xml:space="preserve">Analysis &amp; validation</x:t>
  </x:si>
  <x:si>
    <x:t xml:space="preserve">Thesis writing &amp; outputs</x:t>
  </x:si>
  <x:si>
    <x:t xml:space="preserve">Admin &amp; meetings</x:t>
  </x:si>
  <x:si>
    <x:t xml:space="preserve">Milestone</x:t>
  </x:si>
  <x:si>
    <x:t xml:space="preserve">Target date</x:t>
  </x:si>
  <x:si>
    <x:t xml:space="preserve">Masters Task Tracker</x:t>
  </x:si>
  <x:si>
    <x:t xml:space="preserve">Task ID</x:t>
  </x:si>
  <x:si>
    <x:t xml:space="preserve">Task</x:t>
  </x:si>
  <x:si>
    <x:t xml:space="preserve">Deliverable / definition of done</x:t>
  </x:si>
  <x:si>
    <x:t xml:space="preserve">Owner</x:t>
  </x:si>
  <x:si>
    <x:t xml:space="preserve">Priority</x:t>
  </x:si>
  <x:si>
    <x:t xml:space="preserve">Start date</x:t>
  </x:si>
  <x:si>
    <x:t xml:space="preserve">Due date</x:t>
  </x:si>
  <x:si>
    <x:t xml:space="preserve">Blocked?</x:t>
  </x:si>
  <x:si>
    <x:t xml:space="preserve">Evidence / link</x:t>
  </x:si>
  <x:si>
    <x:t xml:space="preserve">Supervisor comments</x:t>
  </x:si>
  <x:si>
    <x:t xml:space="preserve">Next action</x:t>
  </x:si>
  <x:si>
    <x:t xml:space="preserve">Last updated</x:t>
  </x:si>
  <x:si>
    <x:t xml:space="preserve">Masters Milestones</x:t>
  </x:si>
  <x:si>
    <x:t xml:space="preserve">Notes</x:t>
  </x:si>
  <x:si>
    <x:t xml:space="preserve">Supervisor Meeting Log</x:t>
  </x:si>
  <x:si>
    <x:t xml:space="preserve">Meeting date</x:t>
  </x:si>
  <x:si>
    <x:t xml:space="preserve">Agenda / objective</x:t>
  </x:si>
  <x:si>
    <x:t xml:space="preserve">Actions agreed</x:t>
  </x:si>
  <x:si>
    <x:t xml:space="preserve">Next meeting / notes</x:t>
  </x:si>
  <x:si>
    <x:t xml:space="preserve">Progress Update.</x:t>
  </x:si>
  <x:si>
    <x:t xml:space="preserve">Create task tracker. Take note of orbit direction and incident angle/control for these variables. Transfrom scripts to run as docker images on server.</x:t>
  </x:si>
  <x:si>
    <x:t xml:space="preserve">Create docker scripts and have repo ready for Server - Joshua</x:t>
  </x:si>
  <x:si>
    <x:t xml:space="preserve">Tuesday - 30th June</x:t>
  </x:si>
</x:sst>
</file>

<file path=xl/styles.xml><?xml version="1.0" encoding="utf-8"?>
<x:styleSheet xmlns:x="http://schemas.openxmlformats.org/spreadsheetml/2006/main">
  <x:numFmts count="1">
    <x:numFmt numFmtId="164" formatCode="dd mmm yyyy"/>
  </x:numFmts>
  <x:fonts count="8">
    <x:font>
      <x:sz val="11"/>
      <x:color rgb="FF000000"/>
      <x:name val="Carlito"/>
    </x:font>
    <x:font>
      <x:b/>
      <x:sz val="16"/>
      <x:color rgb="FFFFFFFF"/>
      <x:name val="Arial"/>
    </x:font>
    <x:font>
      <x:sz val="10"/>
      <x:color rgb="FF1F2937"/>
      <x:name val="Aptos"/>
    </x:font>
    <x:font>
      <x:b/>
      <x:sz val="10"/>
      <x:color rgb="FF1F2937"/>
      <x:name val="Aptos"/>
    </x:font>
    <x:font>
      <x:b/>
      <x:sz val="16"/>
      <x:color rgb="FFFFFFFF"/>
      <x:name val="Aptos"/>
    </x:font>
    <x:font>
      <x:i/>
      <x:sz val="10"/>
      <x:color rgb="FF1F2937"/>
      <x:name val="Aptos"/>
    </x:font>
    <x:font>
      <x:sz val="10"/>
      <x:color rgb="FF1F2937"/>
      <x:name val="Arial"/>
    </x:font>
    <x:font>
      <x:b/>
      <x:sz val="10"/>
      <x:color rgb="FF1F2937"/>
      <x:name val="Arial"/>
    </x:font>
  </x:fonts>
  <x:fills count="10">
    <x:fill>
      <x:patternFill patternType="none"/>
    </x:fill>
    <x:fill>
      <x:patternFill patternType="lightGray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  <x:fill>
      <x:patternFill patternType="solid">
        <x:fgColor rgb="FFEDE9FE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 applyFont="1" applyAlignment="1"/>
  </x:cellStyleXfs>
  <x:cellXfs count="47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left" vertical="center"/>
    </x:xf>
    <x:xf numFmtId="0" fontId="2" fillId="0" borderId="0" xfId="0" applyFont="1"/>
    <x:xf numFmtId="0" fontId="2" fillId="0" borderId="0" xfId="0" applyFont="1" applyAlignment="1">
      <x:alignment vertical="center"/>
    </x:xf>
    <x:xf numFmtId="0" fontId="3" fillId="3" borderId="0" xfId="0" applyFont="1" applyFill="1" applyAlignment="1">
      <x:alignment horizontal="center" vertical="center"/>
    </x:xf>
    <x:xf numFmtId="0" fontId="3" fillId="4" borderId="0" xfId="0" applyFont="1" applyFill="1" applyAlignment="1">
      <x:alignment horizontal="center" vertical="center"/>
    </x:xf>
    <x:xf numFmtId="0" fontId="3" fillId="5" borderId="0" xfId="0" applyFont="1" applyFill="1" applyAlignment="1">
      <x:alignment horizontal="center" vertical="center"/>
    </x:xf>
    <x:xf numFmtId="0" fontId="3" fillId="6" borderId="0" xfId="0" applyFont="1" applyFill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7" borderId="0" xfId="0" applyFont="1" applyFill="1" applyAlignment="1">
      <x:alignment horizontal="center" vertical="center"/>
    </x:xf>
    <x:xf numFmtId="9" fontId="3" fillId="7" borderId="0" xfId="0" applyNumberFormat="1" applyFont="1" applyAlignment="1">
      <x:alignment horizontal="center" vertical="center"/>
    </x:xf>
    <x:xf numFmtId="0" fontId="3" fillId="8" borderId="0" xfId="0" applyFont="1" applyFill="1" applyAlignment="1">
      <x:alignment horizontal="left" vertical="center"/>
    </x:xf>
    <x:xf numFmtId="0" fontId="3" fillId="3" borderId="0" xfId="0" applyFont="1" applyAlignment="1">
      <x:alignment horizontal="center" vertical="center" wrapText="1"/>
    </x:xf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horizontal="center" vertical="center" wrapText="1"/>
    </x:xf>
    <x:xf numFmtId="9" fontId="2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left" vertical="center"/>
    </x:xf>
    <x:xf numFmtId="0" fontId="3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 wrapText="1"/>
    </x:xf>
    <x:xf numFmtId="164" fontId="2" fillId="0" borderId="0" xfId="0" applyNumberFormat="1" applyFont="1" applyAlignment="1">
      <x:alignment vertical="center" wrapText="1"/>
    </x:xf>
    <x:xf numFmtId="9" fontId="2" fillId="0" borderId="0" xfId="0" applyNumberFormat="1" applyFont="1" applyAlignment="1">
      <x:alignment vertical="center" wrapText="1"/>
    </x:xf>
    <x:xf numFmtId="0" fontId="4" fillId="2" borderId="0" xfId="0" applyFont="1" applyAlignment="1">
      <x:alignment horizontal="left" vertical="center"/>
    </x:xf>
    <x:xf numFmtId="0" fontId="5" fillId="9" borderId="0" xfId="0" applyFont="1" applyFill="1" applyAlignment="1">
      <x:alignment vertical="center" wrapText="1"/>
    </x:xf>
    <x:xf numFmtId="0" fontId="3" fillId="3" borderId="0" xfId="0" applyFont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 wrapText="1"/>
    </x:xf>
    <x:xf numFmtId="164" fontId="6" fillId="0" borderId="0" xfId="0" applyNumberFormat="1" applyFont="1" applyAlignment="1">
      <x:alignment horizontal="center" vertical="center" wrapText="1"/>
    </x:xf>
    <x:xf numFmtId="164" fontId="2" fillId="0" borderId="0" xfId="0" applyNumberFormat="1" applyFont="1" applyAlignment="1">
      <x:alignment horizontal="center" vertical="center" wrapText="1"/>
    </x:xf>
    <x:xf numFmtId="9" fontId="2" fillId="0" borderId="0" xfId="0" applyNumberFormat="1" applyFont="1" applyAlignment="1">
      <x:alignment horizontal="center" vertical="center" wrapText="1"/>
    </x:xf>
    <x:xf numFmtId="0" fontId="7" fillId="3" borderId="0" xfId="0" applyFont="1" applyAlignment="1">
      <x:alignment horizontal="center" vertical="center" wrapText="1"/>
    </x:xf>
    <x:xf numFmtId="0" fontId="6" fillId="0" borderId="0" xfId="0" applyFont="1" applyAlignment="1">
      <x:alignment vertical="center" wrapText="1"/>
    </x:xf>
    <x:xf numFmtId="164" fontId="2" fillId="0" borderId="0" xfId="0" applyNumberFormat="1" applyFont="1" applyAlignment="1">
      <x:alignment vertical="center" wrapText="1"/>
    </x:xf>
    <x:xf numFmtId="9" fontId="2" fillId="0" borderId="0" xfId="0" applyNumberFormat="1" applyFont="1" applyAlignment="1">
      <x:alignment vertical="center" wrapText="1"/>
    </x:xf>
    <x:xf numFmtId="9" fontId="6" fillId="0" borderId="0" xfId="0" applyNumberFormat="1" applyFont="1" applyAlignment="1">
      <x:alignment vertical="center" wrapText="1"/>
    </x:xf>
    <x:xf numFmtId="0" fontId="5" fillId="9" borderId="0" xfId="0" applyFont="1" applyAlignment="1">
      <x:alignment wrapText="1"/>
    </x:xf>
    <x:xf numFmtId="164" fontId="6" fillId="0" borderId="0" xfId="0" applyNumberFormat="1" applyFont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2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164" fontId="2" fillId="0" borderId="0" xfId="0" applyNumberFormat="1" applyFont="1" applyFill="1" applyBorder="1" applyAlignment="1">
      <x:alignment vertical="center" wrapText="1"/>
    </x:xf>
    <x:xf numFmtId="9" fontId="2" fillId="0" borderId="0" xfId="0" applyNumberFormat="1" applyFont="1" applyFill="1" applyBorder="1" applyAlignment="1">
      <x:alignment vertical="center" wrapText="1"/>
    </x:xf>
    <x:xf numFmtId="9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B91C1C"/>
      </x:font>
      <x:fill>
        <x:patternFill>
          <x:bgColor rgb="FFFCE4D6"/>
        </x:patternFill>
      </x:fill>
      <x:border/>
    </x:dxf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font>
        <x:b/>
        <x:color rgb="FF166534"/>
      </x:font>
      <x:fill>
        <x:patternFill>
          <x:bgColor rgb="FFE2F0D9"/>
        </x:patternFill>
      </x:fill>
      <x:border/>
    </x:dxf>
    <x:dxf>
      <x:font>
        <x:b/>
        <x:color rgb="FF6B21A8"/>
      </x:font>
      <x:fill>
        <x:patternFill>
          <x:bgColor rgb="FFEDE9FE"/>
        </x:patternFill>
      </x:fill>
      <x:border/>
    </x:dxf>
    <x:dxf>
      <x:font>
        <x:b/>
        <x:color rgb="FF0F766E"/>
      </x:font>
      <x:fill>
        <x:patternFill>
          <x:bgColor rgb="FFDDEBF7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dd26b59d5342e5" /><Relationship Type="http://schemas.openxmlformats.org/officeDocument/2006/relationships/theme" Target="/xl/theme/theme1.xml" Id="R465ab0b1db2a4b93" /><Relationship Type="http://schemas.openxmlformats.org/officeDocument/2006/relationships/sharedStrings" Target="/xl/sharedStrings.xml" Id="R09c892769af64f8d" /><Relationship Type="http://schemas.openxmlformats.org/officeDocument/2006/relationships/worksheet" Target="/xl/worksheets/sheet1.xml" Id="R765620dbbf8b4473" /><Relationship Type="http://schemas.openxmlformats.org/officeDocument/2006/relationships/worksheet" Target="/xl/worksheets/sheet2.xml" Id="Rd7a736a2242e4743" /><Relationship Type="http://schemas.openxmlformats.org/officeDocument/2006/relationships/worksheet" Target="/xl/worksheets/sheet3.xml" Id="Rc7ee2774dd8b437b" /><Relationship Type="http://schemas.openxmlformats.org/officeDocument/2006/relationships/worksheet" Target="/xl/worksheets/sheet4.xml" Id="R7050210db04b4e36" /></Relationships>
</file>

<file path=xl/tables/table1.xml><?xml version="1.0" encoding="utf-8"?>
<x:table xmlns:x="http://schemas.openxmlformats.org/spreadsheetml/2006/main" id="1" name="Table_1" displayName="Table_1" ref="A4:O204">
  <x:tableColumns count="15">
    <x:tableColumn id="1" name="Task ID"/>
    <x:tableColumn id="2" name="Workstream"/>
    <x:tableColumn id="3" name="Task"/>
    <x:tableColumn id="4" name="Deliverable / definition of done"/>
    <x:tableColumn id="5" name="Owner"/>
    <x:tableColumn id="6" name="Status"/>
    <x:tableColumn id="7" name="Priority"/>
    <x:tableColumn id="8" name="Start date"/>
    <x:tableColumn id="9" name="Due date"/>
    <x:tableColumn id="10" name="% complete"/>
    <x:tableColumn id="11" name="Blocked?"/>
    <x:tableColumn id="12" name="Evidence / link"/>
    <x:tableColumn id="13" name="Supervisor comments"/>
    <x:tableColumn id="14" name="Next action"/>
    <x:tableColumn id="15" name="Last updated"/>
  </x:tableColumns>
  <x:tableStyleInfo name="Tasks-style" showFirstColumn="1" showLastColumn="1" showRowStripes="1"/>
</x:table>
</file>

<file path=xl/tables/table2.xml><?xml version="1.0" encoding="utf-8"?>
<x:table xmlns:x="http://schemas.openxmlformats.org/spreadsheetml/2006/main" id="2" name="Table_2" displayName="Table_2" ref="A3:F104">
  <x:tableColumns count="6">
    <x:tableColumn id="1" name="Milestone"/>
    <x:tableColumn id="2" name="Workstream"/>
    <x:tableColumn id="3" name="Target date"/>
    <x:tableColumn id="4" name="Status"/>
    <x:tableColumn id="5" name="% complete"/>
    <x:tableColumn id="6" name="Notes"/>
  </x:tableColumns>
  <x:tableStyleInfo name="Milestones-style" showFirstColumn="1" showLastColumn="1" showRowStripes="1"/>
</x:table>
</file>

<file path=xl/tables/table3.xml><?xml version="1.0" encoding="utf-8"?>
<x:table xmlns:x="http://schemas.openxmlformats.org/spreadsheetml/2006/main" id="3" name="Table_3" displayName="Table_3" ref="A4:G104">
  <x:tableColumns count="7">
    <x:tableColumn id="1" name="Meeting date"/>
    <x:tableColumn id="2" name="Agenda / objective"/>
    <x:tableColumn id="3" name="Notes"/>
    <x:tableColumn id="4" name="Actions agreed"/>
    <x:tableColumn id="5" name="Due date"/>
    <x:tableColumn id="6" name="Status"/>
    <x:tableColumn id="7" name="Next meeting / notes"/>
  </x:tableColumns>
  <x:tableStyleInfo name="Meeting Log-style" showFirstColumn="1" showLastColumn="1" showRowStripes="1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4e50d35f1d46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ed5df2db8b48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fe7ce3bf814a44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28" customWidth="1"/>
    <x:col min="2" max="2" width="14" customWidth="1"/>
    <x:col min="3" max="3" width="12" customWidth="1"/>
    <x:col min="4" max="4" width="28" customWidth="1"/>
    <x:col min="5" max="7" width="11" customWidth="1"/>
    <x:col min="8" max="8" width="13" customWidth="1"/>
    <x:col min="9" max="9" width="4" customWidth="1"/>
    <x:col min="10" max="10" width="20" customWidth="1"/>
    <x:col min="11" max="11" width="18" customWidth="1"/>
    <x:col min="12" max="17" width="12" customWidth="1"/>
    <x:col min="18" max="26" width="8.630000114440918" customWidth="1"/>
  </x:cols>
  <x:sheetData>
    <x:row r="1" ht="30" customHeight="1">
      <x:c r="A1" s="1" t="s">
        <x:v>0</x:v>
      </x:c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 t="s">
        <x:v>1</x:v>
      </x:c>
      <x:c r="D3" s="5" t="s">
        <x:v>2</x:v>
      </x:c>
      <x:c r="G3" s="6" t="s">
        <x:v>3</x:v>
      </x:c>
      <x:c r="J3" s="7" t="s">
        <x:v>4</x:v>
      </x:c>
      <x:c r="N3" s="8"/>
      <x:c r="O3" s="8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9" t="n">
        <x:f>COUNTIFS(Tasks!$C$5:$C$204,"&lt;&gt;",Tasks!$F$5:$F$204,"&lt;&gt;Complete")</x:f>
        <x:v>37</x:v>
      </x:c>
      <x:c r="D4" s="9" t="n">
        <x:f>COUNTIF(Tasks!$F$5:$F$204,"Complete")</x:f>
        <x:v>4</x:v>
      </x:c>
      <x:c r="G4" s="9" t="n">
        <x:f>COUNTIF(Tasks!$F$5:$F$204,"Waiting for supervisor review")</x:f>
        <x:v>0</x:v>
      </x:c>
      <x:c r="J4" s="10" t="n">
        <x:f>IFERROR(COUNTIF(Tasks!$F$5:$F$204,"Complete")/COUNTIF(Tasks!$C$5:$C$204,"&lt;&gt;"),0)</x:f>
        <x:v>0.0975609756097561</x:v>
      </x:c>
      <x:c r="N4" s="8"/>
      <x:c r="O4" s="8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N5" s="8"/>
      <x:c r="O5" s="8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11" t="s">
        <x:v>5</x:v>
      </x:c>
      <x:c r="D8" s="11" t="s">
        <x:v>6</x:v>
      </x:c>
      <x:c r="I8" s="3"/>
      <x:c r="J8" s="3"/>
      <x:c r="K8" s="3"/>
      <x:c r="L8" s="3"/>
      <x:c r="M8" s="3"/>
      <x:c r="N8" s="3"/>
      <x:c r="O8" s="3"/>
      <x:c r="P8" s="3"/>
      <x:c r="Q8" s="3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12" t="s">
        <x:v>7</x:v>
      </x:c>
      <x:c r="B9" s="12" t="s">
        <x:v>8</x:v>
      </x:c>
      <x:c r="C9" s="3"/>
      <x:c r="D9" s="12" t="s">
        <x:v>9</x:v>
      </x:c>
      <x:c r="E9" s="12" t="s">
        <x:v>10</x:v>
      </x:c>
      <x:c r="F9" s="12"/>
      <x:c r="G9" s="12" t="s">
        <x:v>11</x:v>
      </x:c>
      <x:c r="H9" s="12" t="s">
        <x:v>4</x:v>
      </x:c>
      <x:c r="I9" s="3"/>
      <x:c r="J9" s="3"/>
      <x:c r="K9" s="3"/>
      <x:c r="L9" s="3"/>
      <x:c r="M9" s="3"/>
      <x:c r="N9" s="3"/>
      <x:c r="O9" s="3"/>
      <x:c r="P9" s="3"/>
      <x:c r="Q9" s="3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3" t="s">
        <x:v>12</x:v>
      </x:c>
      <x:c r="B10" s="13" t="n">
        <x:f>COUNTIF(Tasks!$F$5:$F$204,A10)</x:f>
        <x:v>4</x:v>
      </x:c>
      <x:c r="C10" s="3"/>
      <x:c r="D10" s="14" t="s">
        <x:v>13</x:v>
      </x:c>
      <x:c r="E10" s="15" t="n">
        <x:f>COUNTIF(Tasks!$B$5:$B$204,D10)</x:f>
        <x:v>5</x:v>
      </x:c>
      <x:c r="F10" s="15" t="n">
        <x:f>COUNTIFS(Tasks!$B$5:$B$204,D10,Tasks!$F$5:$F$204,"Complete")</x:f>
        <x:v>0</x:v>
      </x:c>
      <x:c r="G10" s="15" t="n">
        <x:f t="shared" ref="G10:G16" si="1">E10-F10</x:f>
        <x:v>5</x:v>
      </x:c>
      <x:c r="H10" s="16" t="n">
        <x:f t="shared" ref="H10:H16" si="2">IFERROR(F10/E10,0)</x:f>
        <x:v>0</x:v>
      </x:c>
      <x:c r="I10" s="3"/>
      <x:c r="J10" s="3"/>
      <x:c r="K10" s="3"/>
      <x:c r="L10" s="3"/>
      <x:c r="M10" s="3"/>
      <x:c r="N10" s="3"/>
      <x:c r="O10" s="3"/>
      <x:c r="P10" s="3"/>
      <x:c r="Q10" s="3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3" t="s">
        <x:v>14</x:v>
      </x:c>
      <x:c r="B11" s="13" t="n">
        <x:f>COUNTIF(Tasks!$F$5:$F$204,A11)</x:f>
        <x:v>32</x:v>
      </x:c>
      <x:c r="C11" s="3"/>
      <x:c r="D11" s="14" t="s">
        <x:v>15</x:v>
      </x:c>
      <x:c r="E11" s="15" t="n">
        <x:f>COUNTIF(Tasks!$B$5:$B$204,D11)</x:f>
        <x:v>6</x:v>
      </x:c>
      <x:c r="F11" s="15" t="n">
        <x:f>COUNTIFS(Tasks!$B$5:$B$204,D11,Tasks!$F$5:$F$204,"Complete")</x:f>
        <x:v>0</x:v>
      </x:c>
      <x:c r="G11" s="15" t="n">
        <x:f t="shared" si="1">E11-F11</x:f>
        <x:v>6</x:v>
      </x:c>
      <x:c r="H11" s="16" t="n">
        <x:f t="shared" si="2">IFERROR(F11/E11,0)</x:f>
        <x:v>0</x:v>
      </x:c>
      <x:c r="I11" s="3"/>
      <x:c r="J11" s="3"/>
      <x:c r="K11" s="3"/>
      <x:c r="L11" s="3"/>
      <x:c r="M11" s="3"/>
      <x:c r="N11" s="3"/>
      <x:c r="O11" s="3"/>
      <x:c r="P11" s="3"/>
      <x:c r="Q11" s="3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3" t="s">
        <x:v>16</x:v>
      </x:c>
      <x:c r="B12" s="13" t="n">
        <x:f>COUNTIF(Tasks!$F$5:$F$204,A12)</x:f>
        <x:v>0</x:v>
      </x:c>
      <x:c r="C12" s="3"/>
      <x:c r="D12" s="14" t="s">
        <x:v>17</x:v>
      </x:c>
      <x:c r="E12" s="15" t="n">
        <x:f>COUNTIF(Tasks!$B$5:$B$204,D12)</x:f>
        <x:v>5</x:v>
      </x:c>
      <x:c r="F12" s="15" t="n">
        <x:f>COUNTIFS(Tasks!$B$5:$B$204,D12,Tasks!$F$5:$F$204,"Complete")</x:f>
        <x:v>0</x:v>
      </x:c>
      <x:c r="G12" s="15" t="n">
        <x:f t="shared" si="1">E12-F12</x:f>
        <x:v>5</x:v>
      </x:c>
      <x:c r="H12" s="16" t="n">
        <x:f t="shared" si="2">IFERROR(F12/E12,0)</x:f>
        <x:v>0</x:v>
      </x:c>
      <x:c r="I12" s="3"/>
      <x:c r="J12" s="3"/>
      <x:c r="K12" s="3"/>
      <x:c r="L12" s="3"/>
      <x:c r="M12" s="3"/>
      <x:c r="N12" s="3"/>
      <x:c r="O12" s="3"/>
      <x:c r="P12" s="3"/>
      <x:c r="Q12" s="3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3" t="s">
        <x:v>18</x:v>
      </x:c>
      <x:c r="B13" s="13" t="n">
        <x:f>COUNTIF(Tasks!$F$5:$F$204,A13)</x:f>
        <x:v>1</x:v>
      </x:c>
      <x:c r="C13" s="3"/>
      <x:c r="D13" s="14" t="s">
        <x:v>19</x:v>
      </x:c>
      <x:c r="E13" s="15" t="n">
        <x:f>COUNTIF(Tasks!$B$5:$B$204,D13)</x:f>
        <x:v>8</x:v>
      </x:c>
      <x:c r="F13" s="15" t="n">
        <x:f>COUNTIFS(Tasks!$B$5:$B$204,D13,Tasks!$F$5:$F$204,"Complete")</x:f>
        <x:v>1</x:v>
      </x:c>
      <x:c r="G13" s="15" t="n">
        <x:f t="shared" si="1">E13-F13</x:f>
        <x:v>7</x:v>
      </x:c>
      <x:c r="H13" s="16" t="n">
        <x:f t="shared" si="2">IFERROR(F13/E13,0)</x:f>
        <x:v>0.125</x:v>
      </x:c>
      <x:c r="I13" s="3"/>
      <x:c r="J13" s="3"/>
      <x:c r="K13" s="3"/>
      <x:c r="L13" s="3"/>
      <x:c r="M13" s="3"/>
      <x:c r="N13" s="3"/>
      <x:c r="O13" s="3"/>
      <x:c r="P13" s="3"/>
      <x:c r="Q13" s="3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3" t="s">
        <x:v>2</x:v>
      </x:c>
      <x:c r="B14" s="13" t="n">
        <x:f>COUNTIF(Tasks!$F$5:$F$204,A14)</x:f>
        <x:v>4</x:v>
      </x:c>
      <x:c r="C14" s="3"/>
      <x:c r="D14" s="14" t="s">
        <x:v>20</x:v>
      </x:c>
      <x:c r="E14" s="15" t="n">
        <x:f>COUNTIF(Tasks!$B$5:$B$204,D14)</x:f>
        <x:v>6</x:v>
      </x:c>
      <x:c r="F14" s="15" t="n">
        <x:f>COUNTIFS(Tasks!$B$5:$B$204,D14,Tasks!$F$5:$F$204,"Complete")</x:f>
        <x:v>2</x:v>
      </x:c>
      <x:c r="G14" s="15" t="n">
        <x:f t="shared" si="1">E14-F14</x:f>
        <x:v>4</x:v>
      </x:c>
      <x:c r="H14" s="16" t="n">
        <x:f t="shared" si="2">IFERROR(F14/E14,0)</x:f>
        <x:v>0.3333333333333333</x:v>
      </x:c>
      <x:c r="I14" s="3"/>
      <x:c r="J14" s="3"/>
      <x:c r="K14" s="3"/>
      <x:c r="L14" s="3"/>
      <x:c r="M14" s="3"/>
      <x:c r="N14" s="3"/>
      <x:c r="O14" s="3"/>
      <x:c r="P14" s="3"/>
      <x:c r="Q14" s="3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3"/>
      <x:c r="B15" s="13"/>
      <x:c r="C15" s="3"/>
      <x:c r="D15" s="14" t="s">
        <x:v>21</x:v>
      </x:c>
      <x:c r="E15" s="15" t="n">
        <x:f>COUNTIF(Tasks!$B$5:$B$204,D15)</x:f>
        <x:v>7</x:v>
      </x:c>
      <x:c r="F15" s="15" t="n">
        <x:f>COUNTIFS(Tasks!$B$5:$B$204,D15,Tasks!$F$5:$F$204,"Complete")</x:f>
        <x:v>0</x:v>
      </x:c>
      <x:c r="G15" s="15" t="n">
        <x:f t="shared" si="1">E15-F15</x:f>
        <x:v>7</x:v>
      </x:c>
      <x:c r="H15" s="16" t="n">
        <x:f t="shared" si="2">IFERROR(F15/E15,0)</x:f>
        <x:v>0</x:v>
      </x:c>
      <x:c r="I15" s="3"/>
      <x:c r="J15" s="3"/>
      <x:c r="K15" s="3"/>
      <x:c r="L15" s="3"/>
      <x:c r="M15" s="3"/>
      <x:c r="N15" s="3"/>
      <x:c r="O15" s="3"/>
      <x:c r="P15" s="3"/>
      <x:c r="Q15" s="3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3"/>
      <x:c r="B16" s="3"/>
      <x:c r="C16" s="3"/>
      <x:c r="D16" s="14" t="s">
        <x:v>22</x:v>
      </x:c>
      <x:c r="E16" s="15" t="n">
        <x:f>COUNTIF(Tasks!$B$5:$B$204,D16)</x:f>
        <x:v>4</x:v>
      </x:c>
      <x:c r="F16" s="15" t="n">
        <x:f>COUNTIFS(Tasks!$B$5:$B$204,D16,Tasks!$F$5:$F$204,"Complete")</x:f>
        <x:v>1</x:v>
      </x:c>
      <x:c r="G16" s="15" t="n">
        <x:f t="shared" si="1">E16-F16</x:f>
        <x:v>3</x:v>
      </x:c>
      <x:c r="H16" s="16" t="n">
        <x:f t="shared" si="2">IFERROR(F16/E16,0)</x:f>
        <x:v>0.25</x:v>
      </x:c>
      <x:c r="I16" s="3"/>
      <x:c r="J16" s="3"/>
      <x:c r="K16" s="3"/>
      <x:c r="L16" s="3"/>
      <x:c r="M16" s="3"/>
      <x:c r="N16" s="3"/>
      <x:c r="O16" s="3"/>
      <x:c r="P16" s="3"/>
      <x:c r="Q16" s="3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17"/>
      <x:c r="I19" s="3"/>
      <x:c r="J19" s="17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12" t="s">
        <x:v>23</x:v>
      </x:c>
      <x:c r="B20" s="12" t="s">
        <x:v>24</x:v>
      </x:c>
      <x:c r="C20" s="12" t="s">
        <x:v>7</x:v>
      </x:c>
      <x:c r="D20" s="12" t="s">
        <x:v>4</x:v>
      </x:c>
      <x:c r="F20" s="18"/>
      <x:c r="G20" s="18"/>
      <x:c r="H20" s="18"/>
      <x:c r="I20" s="3"/>
      <x:c r="J20" s="19"/>
      <x:c r="K20" s="14"/>
      <x:c r="L20" s="14"/>
      <x:c r="M20" s="14"/>
      <x:c r="N20" s="14"/>
      <x:c r="O20" s="14"/>
      <x:c r="P20" s="14"/>
      <x:c r="Q20" s="14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24" hidden="0" customHeight="1">
      <x:c r="A21" s="14" t="str">
        <x:f>IF(Milestones!A4="","",Milestones!A4)</x:f>
        <x:v>Project framing and thesis direction clarified</x:v>
      </x:c>
      <x:c r="B21" s="20" t="str">
        <x:f>IF(Milestones!C4="","",Milestones!C4)</x:f>
      </x:c>
      <x:c r="C21" s="14" t="str">
        <x:f>IF(Milestones!D4="","",Milestones!D4)</x:f>
        <x:v>In progress</x:v>
      </x:c>
      <x:c r="D21" s="14"/>
      <x:c r="E21" s="21" t="n">
        <x:f>IF(Milestones!E4="","",Milestones!E4)</x:f>
        <x:v>0.7</x:v>
      </x:c>
      <x:c r="F21" s="14"/>
      <x:c r="G21" s="3"/>
      <x:c r="H21" s="3"/>
      <x:c r="I21" s="3"/>
      <x:c r="J21" s="19"/>
      <x:c r="K21" s="14"/>
      <x:c r="L21" s="14"/>
      <x:c r="M21" s="14"/>
      <x:c r="N21" s="14"/>
      <x:c r="O21" s="14"/>
      <x:c r="P21" s="14"/>
      <x:c r="Q21" s="14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14" t="str">
        <x:f>IF(Milestones!A5="","",Milestones!A5)</x:f>
        <x:v>Core literature base assembled</x:v>
      </x:c>
      <x:c r="B22" s="20" t="str">
        <x:f>IF(Milestones!C5="","",Milestones!C5)</x:f>
      </x:c>
      <x:c r="C22" s="14" t="str">
        <x:f>IF(Milestones!D5="","",Milestones!D5)</x:f>
        <x:v>In progress</x:v>
      </x:c>
      <x:c r="D22" s="14"/>
      <x:c r="E22" s="21" t="n">
        <x:f>IF(Milestones!E5="","",Milestones!E5)</x:f>
        <x:v>0.75</x:v>
      </x:c>
      <x:c r="F22" s="14"/>
      <x:c r="G22" s="3"/>
      <x:c r="H22" s="3"/>
      <x:c r="I22" s="3"/>
      <x:c r="J22" s="19"/>
      <x:c r="K22" s="14"/>
      <x:c r="L22" s="14"/>
      <x:c r="M22" s="14"/>
      <x:c r="N22" s="14"/>
      <x:c r="O22" s="14"/>
      <x:c r="P22" s="14"/>
      <x:c r="Q22" s="14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24" hidden="0" customHeight="1">
      <x:c r="A23" s="14" t="str">
        <x:f>IF(Milestones!A6="","",Milestones!A6)</x:f>
        <x:v>Data inventory and scene coverage understood</x:v>
      </x:c>
      <x:c r="B23" s="20" t="str">
        <x:f>IF(Milestones!C6="","",Milestones!C6)</x:f>
      </x:c>
      <x:c r="C23" s="14" t="str">
        <x:f>IF(Milestones!D6="","",Milestones!D6)</x:f>
        <x:v>In progress</x:v>
      </x:c>
      <x:c r="D23" s="14"/>
      <x:c r="E23" s="21" t="n">
        <x:f>IF(Milestones!E6="","",Milestones!E6)</x:f>
        <x:v>0.7</x:v>
      </x:c>
      <x:c r="F23" s="14"/>
      <x:c r="G23" s="3"/>
      <x:c r="H23" s="3"/>
      <x:c r="I23" s="3"/>
      <x:c r="J23" s="19"/>
      <x:c r="K23" s="14"/>
      <x:c r="L23" s="14"/>
      <x:c r="M23" s="14"/>
      <x:c r="N23" s="14"/>
      <x:c r="O23" s="14"/>
      <x:c r="P23" s="14"/>
      <x:c r="Q23" s="14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24" hidden="0" customHeight="1">
      <x:c r="A24" s="14" t="str">
        <x:f>IF(Milestones!A7="","",Milestones!A7)</x:f>
        <x:v>Observation records and labels cleaned up</x:v>
      </x:c>
      <x:c r="B24" s="20" t="str">
        <x:f>IF(Milestones!C7="","",Milestones!C7)</x:f>
      </x:c>
      <x:c r="C24" s="14" t="str">
        <x:f>IF(Milestones!D7="","",Milestones!D7)</x:f>
        <x:v>In progress</x:v>
      </x:c>
      <x:c r="D24" s="14"/>
      <x:c r="E24" s="21" t="n">
        <x:f>IF(Milestones!E7="","",Milestones!E7)</x:f>
        <x:v>0.65</x:v>
      </x:c>
      <x:c r="F24" s="14"/>
      <x:c r="G24" s="3"/>
      <x:c r="H24" s="3"/>
      <x:c r="I24" s="3"/>
      <x:c r="J24" s="19"/>
      <x:c r="K24" s="14"/>
      <x:c r="L24" s="14"/>
      <x:c r="M24" s="14"/>
      <x:c r="N24" s="14"/>
      <x:c r="O24" s="14"/>
      <x:c r="P24" s="14"/>
      <x:c r="Q24" s="14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14" t="str">
        <x:f>IF(Milestones!A8="","",Milestones!A8)</x:f>
        <x:v>Pilot SAR processing workflow proven</x:v>
      </x:c>
      <x:c r="B25" s="20" t="str">
        <x:f>IF(Milestones!C8="","",Milestones!C8)</x:f>
      </x:c>
      <x:c r="C25" s="14" t="str">
        <x:f>IF(Milestones!D8="","",Milestones!D8)</x:f>
        <x:v>Complete</x:v>
      </x:c>
      <x:c r="D25" s="14"/>
      <x:c r="E25" s="21" t="n">
        <x:f>IF(Milestones!E8="","",Milestones!E8)</x:f>
        <x:v>0.95</x:v>
      </x:c>
      <x:c r="F25" s="14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24" hidden="0" customHeight="1">
      <x:c r="A26" s="14" t="str">
        <x:f>IF(Milestones!A9="","",Milestones!A9)</x:f>
        <x:v>Broader processing and baseline experiments underway</x:v>
      </x:c>
      <x:c r="B26" s="20" t="str">
        <x:f>IF(Milestones!C9="","",Milestones!C9)</x:f>
      </x:c>
      <x:c r="C26" s="14" t="str">
        <x:f>IF(Milestones!D9="","",Milestones!D9)</x:f>
        <x:v>In progress</x:v>
      </x:c>
      <x:c r="D26" s="14"/>
      <x:c r="E26" s="21" t="n">
        <x:f>IF(Milestones!E9="","",Milestones!E9)</x:f>
        <x:v>0.6</x:v>
      </x:c>
      <x:c r="F26" s="14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14" t="str">
        <x:f>IF(Milestones!A10="","",Milestones!A10)</x:f>
        <x:v>Initial analysis findings documented</x:v>
      </x:c>
      <x:c r="B27" s="20" t="str">
        <x:f>IF(Milestones!C10="","",Milestones!C10)</x:f>
      </x:c>
      <x:c r="C27" s="14" t="str">
        <x:f>IF(Milestones!D10="","",Milestones!D10)</x:f>
        <x:v>In progress</x:v>
      </x:c>
      <x:c r="D27" s="14"/>
      <x:c r="E27" s="21" t="n">
        <x:f>IF(Milestones!E10="","",Milestones!E10)</x:f>
        <x:v>0.55</x:v>
      </x:c>
      <x:c r="F27" s="14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24" hidden="0" customHeight="1">
      <x:c r="A28" s="14" t="str">
        <x:f>IF(Milestones!A11="","",Milestones!A11)</x:f>
        <x:v>Thesis writing pack and supervisor review material assembled</x:v>
      </x:c>
      <x:c r="B28" s="20" t="str">
        <x:f>IF(Milestones!C11="","",Milestones!C11)</x:f>
      </x:c>
      <x:c r="C28" s="14" t="str">
        <x:f>IF(Milestones!D11="","",Milestones!D11)</x:f>
        <x:v>In progress</x:v>
      </x:c>
      <x:c r="D28" s="14"/>
      <x:c r="E28" s="21" t="n">
        <x:f>IF(Milestones!E11="","",Milestones!E11)</x:f>
        <x:v>0.45</x:v>
      </x:c>
      <x:c r="F28" s="14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.7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.7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.7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.7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.7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.7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.7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.7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.7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.7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.7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.7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.7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.7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.7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.7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.7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.7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.7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.7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.7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.7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.7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.7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.7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.7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.7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.7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.7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.7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.7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.7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.7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.7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.7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.7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.7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.7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.7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.7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.7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.7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.7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.7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.7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.7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.7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.7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.7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.7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.7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.7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.75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.75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.75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.75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.7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.7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.75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.7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.7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.7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.75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.75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.75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.75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.75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.75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.75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.75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.75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.75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.75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.75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.75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.75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.75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.75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.75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.7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.7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.75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.75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.75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.75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.7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.7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.75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.75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.75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.75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.75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.75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.75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.75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.75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.75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.75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.75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.75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.75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.75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.75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.75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.75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.75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.75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.75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.75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.75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.75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.75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.75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.75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.75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.75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.75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.75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.75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.75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.75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.75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.75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.75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.75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.75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.75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.75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.75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.75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.75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.75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.75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.75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.75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.75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.75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.75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.75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.75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.75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.75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.75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.75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.75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.75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.75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.75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.75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.75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.75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.75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.75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.75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.75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.75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.75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.75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.75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.75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.75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.75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.75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.75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.75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.75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.75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.75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.75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.75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.75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.75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.75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.75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.75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.75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.75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.75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.75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.75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.75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.75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.75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.75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.75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.75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.75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.75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.75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.75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.75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.75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.75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.75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.75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.75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.75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.75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.75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.75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mergeCells>
    <x:mergeCell ref="G4:I5"/>
    <x:mergeCell ref="J4:K5"/>
    <x:mergeCell ref="A8:C8"/>
    <x:mergeCell ref="D8:H8"/>
    <x:mergeCell ref="A19:H19"/>
    <x:mergeCell ref="J19:Q19"/>
    <x:mergeCell ref="A1:Q1"/>
    <x:mergeCell ref="A3:C3"/>
    <x:mergeCell ref="D3:F3"/>
    <x:mergeCell ref="G3:I3"/>
    <x:mergeCell ref="J3:K3"/>
    <x:mergeCell ref="A4:C5"/>
    <x:mergeCell ref="D4:F5"/>
  </x:mergeCells>
  <x:conditionalFormatting sqref="B21:B28">
    <x:cfRule type="expression" dxfId="0" priority="1">
      <x:formula>AND(B21&lt;TODAY(),C21&lt;&gt;"Complete",A21&lt;&gt;"")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12" hidden="0" customWidth="1"/>
    <x:col min="2" max="2" width="20" hidden="0" customWidth="1"/>
    <x:col min="3" max="3" width="24" hidden="0" customWidth="1"/>
    <x:col min="4" max="4" width="34" hidden="0" customWidth="1"/>
    <x:col min="5" max="5" width="12" hidden="0" customWidth="1"/>
    <x:col min="6" max="6" width="18" hidden="0" customWidth="1"/>
    <x:col min="7" max="7" width="10" hidden="0" customWidth="1"/>
    <x:col min="8" max="9" width="13" customWidth="1"/>
    <x:col min="10" max="10" width="12" customWidth="1"/>
    <x:col min="11" max="11" width="10" customWidth="1"/>
    <x:col min="12" max="12" width="30" hidden="0" customWidth="1"/>
    <x:col min="13" max="14" width="28" customWidth="1"/>
    <x:col min="15" max="15" width="14" hidden="0" customWidth="1"/>
    <x:col min="16" max="26" width="8.630000114440918" customWidth="1"/>
    <x:col min="13" max="13" width="20" hidden="0" customWidth="1"/>
    <x:col min="14" max="14" width="28" hidden="0" customWidth="1"/>
  </x:cols>
  <x:sheetData>
    <x:row r="1" ht="27.75" customHeight="1">
      <x:c r="A1" s="22" t="s">
        <x:v>25</x:v>
      </x:c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7.75" customHeight="1">
      <x:c r="A2" s="2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4" t="s">
        <x:v>26</x:v>
      </x:c>
      <x:c r="B4" s="24" t="s">
        <x:v>9</x:v>
      </x:c>
      <x:c r="C4" s="24" t="s">
        <x:v>27</x:v>
      </x:c>
      <x:c r="D4" s="24" t="s">
        <x:v>28</x:v>
      </x:c>
      <x:c r="E4" s="24" t="s">
        <x:v>29</x:v>
      </x:c>
      <x:c r="F4" s="24" t="s">
        <x:v>7</x:v>
      </x:c>
      <x:c r="G4" s="24" t="s">
        <x:v>30</x:v>
      </x:c>
      <x:c r="H4" s="24" t="s">
        <x:v>31</x:v>
      </x:c>
      <x:c r="I4" s="24" t="s">
        <x:v>32</x:v>
      </x:c>
      <x:c r="J4" s="24" t="s">
        <x:v>4</x:v>
      </x:c>
      <x:c r="K4" s="24" t="s">
        <x:v>33</x:v>
      </x:c>
      <x:c r="L4" s="24" t="s">
        <x:v>34</x:v>
      </x:c>
      <x:c r="M4" s="24" t="s">
        <x:v>35</x:v>
      </x:c>
      <x:c r="N4" s="24" t="s">
        <x:v>36</x:v>
      </x:c>
      <x:c r="O4" s="24" t="s">
        <x:v>37</x:v>
      </x:c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6" hidden="0" customHeight="1">
      <x:c r="A5" s="25" t="str">
        <x:v>T-001</x:v>
      </x:c>
      <x:c r="B5" s="26" t="str">
        <x:v>Literature review</x:v>
      </x:c>
      <x:c r="C5" s="37" t="str">
        <x:v>Define the literature review themes</x:v>
      </x:c>
      <x:c r="D5" s="37" t="str">
        <x:v>A short list of themes, concepts, and keywords that structures the review and keeps reading focused.</x:v>
      </x:c>
      <x:c r="E5" s="25" t="str">
        <x:v>Joshua</x:v>
      </x:c>
      <x:c r="F5" s="25" t="str">
        <x:v>In progress</x:v>
      </x:c>
      <x:c r="G5" s="25" t="str">
        <x:v>High</x:v>
      </x:c>
      <x:c r="H5" s="27"/>
      <x:c r="I5" s="28"/>
      <x:c r="J5" s="29" t="n">
        <x:v>0.7</x:v>
      </x:c>
      <x:c r="K5" s="25" t="str">
        <x:v>No</x:v>
      </x:c>
      <x:c r="L5" s="37" t="str">
        <x:v>Writing/; Progress_Tracker/docs/reference/</x:v>
      </x:c>
      <x:c r="M5" s="37" t="str"/>
      <x:c r="N5" s="37" t="str">
        <x:v>Turn the current reading into a clean review outline.</x:v>
      </x:c>
      <x:c r="O5" s="28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6" hidden="0" customHeight="1">
      <x:c r="A6" s="25" t="str">
        <x:v>T-002</x:v>
      </x:c>
      <x:c r="B6" s="26" t="str">
        <x:v>Literature review</x:v>
      </x:c>
      <x:c r="C6" s="37" t="str">
        <x:v>Collect core SAR and marine-debris papers</x:v>
      </x:c>
      <x:c r="D6" s="37" t="str">
        <x:v>A working reading list covering SAR theory, floating debris detection, drift context, and related remote-sensing studies.</x:v>
      </x:c>
      <x:c r="E6" s="25" t="str">
        <x:v>Joshua</x:v>
      </x:c>
      <x:c r="F6" s="25" t="str">
        <x:v>In progress</x:v>
      </x:c>
      <x:c r="G6" s="25" t="str">
        <x:v>High</x:v>
      </x:c>
      <x:c r="H6" s="28"/>
      <x:c r="I6" s="28"/>
      <x:c r="J6" s="29" t="n">
        <x:v>0.75</x:v>
      </x:c>
      <x:c r="K6" s="25" t="str">
        <x:v>No</x:v>
      </x:c>
      <x:c r="L6" s="37" t="str">
        <x:v>Writing/ShipSamples.txt; MERIA/</x:v>
      </x:c>
      <x:c r="M6" s="37" t="str"/>
      <x:c r="N6" s="37" t="str">
        <x:v>Add any missing cornerstone papers before deeper synthesis.</x:v>
      </x:c>
      <x:c r="O6" s="28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24" hidden="0" customHeight="1">
      <x:c r="A7" s="25" t="str">
        <x:v>T-003</x:v>
      </x:c>
      <x:c r="B7" s="26" t="str">
        <x:v>Literature review</x:v>
      </x:c>
      <x:c r="C7" s="37" t="str">
        <x:v>Write short summaries for each key paper</x:v>
      </x:c>
      <x:c r="D7" s="37" t="str">
        <x:v>Brief notes capturing the method, data, findings, and relevance of each paper.</x:v>
      </x:c>
      <x:c r="E7" s="25" t="str">
        <x:v>Joshua</x:v>
      </x:c>
      <x:c r="F7" s="25" t="str">
        <x:v>In progress</x:v>
      </x:c>
      <x:c r="G7" s="25" t="str">
        <x:v>Medium</x:v>
      </x:c>
      <x:c r="H7" s="28"/>
      <x:c r="I7" s="28"/>
      <x:c r="J7" s="29" t="n">
        <x:v>0.55</x:v>
      </x:c>
      <x:c r="K7" s="25" t="str">
        <x:v>No</x:v>
      </x:c>
      <x:c r="L7" s="37" t="str">
        <x:v>Writing/; Progress_Tracker/docs/reference/</x:v>
      </x:c>
      <x:c r="M7" s="37" t="str"/>
      <x:c r="N7" s="37" t="str">
        <x:v>Standardise the format of the reading notes.</x:v>
      </x:c>
      <x:c r="O7" s="28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24" hidden="0" customHeight="1">
      <x:c r="A8" s="25" t="str">
        <x:v>T-004</x:v>
      </x:c>
      <x:c r="B8" s="26" t="str">
        <x:v>Literature review</x:v>
      </x:c>
      <x:c r="C8" s="37" t="str">
        <x:v>Identify the research gap and thesis positioning</x:v>
      </x:c>
      <x:c r="D8" s="37" t="str">
        <x:v>A clear statement of what this project contributes beyond the reviewed literature.</x:v>
      </x:c>
      <x:c r="E8" s="25" t="str">
        <x:v>Joshua</x:v>
      </x:c>
      <x:c r="F8" s="25" t="str">
        <x:v>In progress</x:v>
      </x:c>
      <x:c r="G8" s="25" t="str">
        <x:v>High</x:v>
      </x:c>
      <x:c r="H8" s="28"/>
      <x:c r="I8" s="28"/>
      <x:c r="J8" s="29" t="n">
        <x:v>0.5</x:v>
      </x:c>
      <x:c r="K8" s="25" t="str">
        <x:v>No</x:v>
      </x:c>
      <x:c r="L8" s="37" t="str">
        <x:v>Progress_Tracker/docs/reference/meria_sa_slc_science_notes.md</x:v>
      </x:c>
      <x:c r="M8" s="37" t="str"/>
      <x:c r="N8" s="37" t="str">
        <x:v>Turn current notes into a concise gap statement.</x:v>
      </x:c>
      <x:c r="O8" s="28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4" hidden="0" customHeight="1">
      <x:c r="A9" s="25" t="str">
        <x:v>T-005</x:v>
      </x:c>
      <x:c r="B9" s="26" t="str">
        <x:v>Literature review</x:v>
      </x:c>
      <x:c r="C9" s="37" t="str">
        <x:v>Draft the literature review section structure</x:v>
      </x:c>
      <x:c r="D9" s="37" t="str">
        <x:v>A section-by-section outline for the thesis literature review chapter.</x:v>
      </x:c>
      <x:c r="E9" s="25" t="str">
        <x:v>Joshua</x:v>
      </x:c>
      <x:c r="F9" s="25" t="str">
        <x:v>Not started</x:v>
      </x:c>
      <x:c r="G9" s="25" t="str">
        <x:v>Medium</x:v>
      </x:c>
      <x:c r="H9" s="28"/>
      <x:c r="I9" s="28"/>
      <x:c r="J9" s="29" t="n">
        <x:v>0.2</x:v>
      </x:c>
      <x:c r="K9" s="25" t="str">
        <x:v>No</x:v>
      </x:c>
      <x:c r="L9" s="37" t="str">
        <x:v>Writing/; docs/</x:v>
      </x:c>
      <x:c r="M9" s="37" t="str"/>
      <x:c r="N9" s="37" t="str">
        <x:v>Break the review into major themes and subheadings.</x:v>
      </x:c>
      <x:c r="O9" s="28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24" hidden="0" customHeight="1">
      <x:c r="A10" s="25" t="str">
        <x:v>T-006</x:v>
      </x:c>
      <x:c r="B10" s="26" t="str">
        <x:v>Data &amp; imagery</x:v>
      </x:c>
      <x:c r="C10" s="37" t="str">
        <x:v>Inventory all available datasets and folders</x:v>
      </x:c>
      <x:c r="D10" s="37" t="str">
        <x:v>A clean view of what data exists, where it lives, and how it supports the project.</x:v>
      </x:c>
      <x:c r="E10" s="25" t="str">
        <x:v>Joshua</x:v>
      </x:c>
      <x:c r="F10" s="25" t="str">
        <x:v>In progress</x:v>
      </x:c>
      <x:c r="G10" s="25" t="str">
        <x:v>High</x:v>
      </x:c>
      <x:c r="H10" s="28"/>
      <x:c r="I10" s="28"/>
      <x:c r="J10" s="29" t="n">
        <x:v>0.8</x:v>
      </x:c>
      <x:c r="K10" s="25" t="str">
        <x:v>No</x:v>
      </x:c>
      <x:c r="L10" s="37" t="str">
        <x:v>MERIA/; MARIDA/; PlanetData/; Data_Creation/</x:v>
      </x:c>
      <x:c r="M10" s="37" t="str"/>
      <x:c r="N10" s="37" t="str">
        <x:v>Capture any remaining unmanaged inputs and outputs.</x:v>
      </x:c>
      <x:c r="O10" s="28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24" hidden="0" customHeight="1">
      <x:c r="A11" s="25" t="str">
        <x:v>T-007</x:v>
      </x:c>
      <x:c r="B11" s="26" t="str">
        <x:v>Data &amp; imagery</x:v>
      </x:c>
      <x:c r="C11" s="37" t="str">
        <x:v>Organise the key imagery sources</x:v>
      </x:c>
      <x:c r="D11" s="37" t="str">
        <x:v>A tidy working structure for Sentinel-1, Planet, and supporting project imagery.</x:v>
      </x:c>
      <x:c r="E11" s="25" t="str">
        <x:v>Joshua</x:v>
      </x:c>
      <x:c r="F11" s="25" t="str">
        <x:v>In progress</x:v>
      </x:c>
      <x:c r="G11" s="25" t="str">
        <x:v>High</x:v>
      </x:c>
      <x:c r="H11" s="28"/>
      <x:c r="I11" s="28"/>
      <x:c r="J11" s="29" t="n">
        <x:v>0.65</x:v>
      </x:c>
      <x:c r="K11" s="25" t="str">
        <x:v>No</x:v>
      </x:c>
      <x:c r="L11" s="37" t="str">
        <x:v>Data_Creation/; PlanetData/; MERIA/</x:v>
      </x:c>
      <x:c r="M11" s="37" t="str"/>
      <x:c r="N11" s="37" t="str">
        <x:v>Clean up the folders that are still mixing raw and processed material.</x:v>
      </x:c>
      <x:c r="O11" s="28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4" hidden="0" customHeight="1">
      <x:c r="A12" s="25" t="str">
        <x:v>T-008</x:v>
      </x:c>
      <x:c r="B12" s="26" t="str">
        <x:v>Data &amp; imagery</x:v>
      </x:c>
      <x:c r="C12" s="37" t="str">
        <x:v>Check case-study scene coverage</x:v>
      </x:c>
      <x:c r="D12" s="37" t="str">
        <x:v>A practical view of which scenes exist for the main locations and timestamps of interest.</x:v>
      </x:c>
      <x:c r="E12" s="25" t="str">
        <x:v>Joshua</x:v>
      </x:c>
      <x:c r="F12" s="25" t="str">
        <x:v>In progress</x:v>
      </x:c>
      <x:c r="G12" s="25" t="str">
        <x:v>High</x:v>
      </x:c>
      <x:c r="H12" s="28"/>
      <x:c r="I12" s="28"/>
      <x:c r="J12" s="29" t="n">
        <x:v>0.75</x:v>
      </x:c>
      <x:c r="K12" s="25" t="str">
        <x:v>No</x:v>
      </x:c>
      <x:c r="L12" s="37" t="str">
        <x:v>meria_15km_coverage_summary.csv; meria_15km_coverage_products.csv</x:v>
      </x:c>
      <x:c r="M12" s="37" t="str"/>
      <x:c r="N12" s="37" t="str">
        <x:v>Confirm which locations still need more complete coverage.</x:v>
      </x:c>
      <x:c r="O12" s="28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24" hidden="0" customHeight="1">
      <x:c r="A13" s="25" t="str">
        <x:v>T-009</x:v>
      </x:c>
      <x:c r="B13" s="26" t="str">
        <x:v>Data &amp; imagery</x:v>
      </x:c>
      <x:c r="C13" s="37" t="str">
        <x:v>Record missing or weak imagery cases</x:v>
      </x:c>
      <x:c r="D13" s="37" t="str">
        <x:v>A list of the scenes, assets, or observations that are still missing or low quality.</x:v>
      </x:c>
      <x:c r="E13" s="25" t="str">
        <x:v>Joshua</x:v>
      </x:c>
      <x:c r="F13" s="25" t="str">
        <x:v>In progress</x:v>
      </x:c>
      <x:c r="G13" s="25" t="str">
        <x:v>Medium</x:v>
      </x:c>
      <x:c r="H13" s="28"/>
      <x:c r="I13" s="28"/>
      <x:c r="J13" s="29" t="n">
        <x:v>0.45</x:v>
      </x:c>
      <x:c r="K13" s="25" t="str">
        <x:v>No</x:v>
      </x:c>
      <x:c r="L13" s="37" t="str">
        <x:v>Progress_Tracker/docs/evidence/planet/; meria_15km_coverage_summary.csv</x:v>
      </x:c>
      <x:c r="M13" s="37" t="str"/>
      <x:c r="N13" s="37" t="str">
        <x:v>Separate true data gaps from processing gaps.</x:v>
      </x:c>
      <x:c r="O13" s="28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6" hidden="0" customHeight="1">
      <x:c r="A14" s="25" t="str">
        <x:v>T-010</x:v>
      </x:c>
      <x:c r="B14" s="26" t="str">
        <x:v>Data &amp; imagery</x:v>
      </x:c>
      <x:c r="C14" s="37" t="str">
        <x:v>Prepare the imagery acquisition workflow</x:v>
      </x:c>
      <x:c r="D14" s="37" t="str">
        <x:v>A repeatable process for finding, matching, and requesting scenes when more data is needed.</x:v>
      </x:c>
      <x:c r="E14" s="25" t="str">
        <x:v>Joshua</x:v>
      </x:c>
      <x:c r="F14" s="25" t="str">
        <x:v>In progress</x:v>
      </x:c>
      <x:c r="G14" s="25" t="str">
        <x:v>Medium</x:v>
      </x:c>
      <x:c r="H14" s="28"/>
      <x:c r="I14" s="28"/>
      <x:c r="J14" s="29" t="n">
        <x:v>0.6</x:v>
      </x:c>
      <x:c r="K14" s="25" t="str">
        <x:v>No</x:v>
      </x:c>
      <x:c r="L14" s="37" t="str">
        <x:v>Scripts/; Data_Creation/build_meria_sa_s1_slc_matches.py</x:v>
      </x:c>
      <x:c r="M14" s="37" t="str"/>
      <x:c r="N14" s="37" t="str">
        <x:v>Simplify the workflow into a short checklist.</x:v>
      </x:c>
      <x:c r="O14" s="28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6" hidden="0" customHeight="1">
      <x:c r="A15" s="25" t="str">
        <x:v>T-011</x:v>
      </x:c>
      <x:c r="B15" s="26" t="str">
        <x:v>Data &amp; imagery</x:v>
      </x:c>
      <x:c r="C15" s="37" t="str">
        <x:v>Resolve outstanding Planet acquisition gaps</x:v>
      </x:c>
      <x:c r="D15" s="37" t="str">
        <x:v>A list of matched Planet scenes or a clear record of why those matches cannot yet be resolved.</x:v>
      </x:c>
      <x:c r="E15" s="25" t="str">
        <x:v>Joshua</x:v>
      </x:c>
      <x:c r="F15" s="25" t="str">
        <x:v>Blocked</x:v>
      </x:c>
      <x:c r="G15" s="25" t="str">
        <x:v>High</x:v>
      </x:c>
      <x:c r="H15" s="28"/>
      <x:c r="I15" s="28"/>
      <x:c r="J15" s="29" t="n">
        <x:v>0.3</x:v>
      </x:c>
      <x:c r="K15" s="25" t="str">
        <x:v>Yes</x:v>
      </x:c>
      <x:c r="L15" s="37" t="str">
        <x:v>Progress_Tracker/docs/evidence/planet/ocean_scan_mireia_planet_report.md</x:v>
      </x:c>
      <x:c r="M15" s="37" t="str"/>
      <x:c r="N15" s="37" t="str">
        <x:v>Unblock the API access needed to finish the Planet lookup work.</x:v>
      </x:c>
      <x:c r="O15" s="28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6" hidden="0" customHeight="1">
      <x:c r="A16" s="25" t="str">
        <x:v>T-012</x:v>
      </x:c>
      <x:c r="B16" s="26" t="str">
        <x:v>Fieldwork &amp; ground truthing</x:v>
      </x:c>
      <x:c r="C16" s="37" t="str">
        <x:v>Consolidate observation and label records</x:v>
      </x:c>
      <x:c r="D16" s="37" t="str">
        <x:v>One reliable working set of observation metadata, labels, and related identifiers.</x:v>
      </x:c>
      <x:c r="E16" s="25" t="str">
        <x:v>Joshua</x:v>
      </x:c>
      <x:c r="F16" s="25" t="str">
        <x:v>In progress</x:v>
      </x:c>
      <x:c r="G16" s="25" t="str">
        <x:v>High</x:v>
      </x:c>
      <x:c r="H16" s="28"/>
      <x:c r="I16" s="28"/>
      <x:c r="J16" s="29" t="n">
        <x:v>0.75</x:v>
      </x:c>
      <x:c r="K16" s="25" t="str">
        <x:v>No</x:v>
      </x:c>
      <x:c r="L16" s="37" t="str">
        <x:v>MERIA/; Scripts/ocean_scan_mireia_patches.geojson; Data_Creation/</x:v>
      </x:c>
      <x:c r="M16" s="37" t="str"/>
      <x:c r="N16" s="37" t="str">
        <x:v>Check for duplicate, missing, or inconsistent records.</x:v>
      </x:c>
      <x:c r="O16" s="28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6" hidden="0" customHeight="1">
      <x:c r="A17" s="25" t="str">
        <x:v>T-013</x:v>
      </x:c>
      <x:c r="B17" s="26" t="str">
        <x:v>Fieldwork &amp; ground truthing</x:v>
      </x:c>
      <x:c r="C17" s="37" t="str">
        <x:v>Review the quality of validation information</x:v>
      </x:c>
      <x:c r="D17" s="37" t="str">
        <x:v>A clearer understanding of which observations are strong, weak, or uncertain for analysis.</x:v>
      </x:c>
      <x:c r="E17" s="25" t="str">
        <x:v>Joshua</x:v>
      </x:c>
      <x:c r="F17" s="25" t="str">
        <x:v>In progress</x:v>
      </x:c>
      <x:c r="G17" s="25" t="str">
        <x:v>High</x:v>
      </x:c>
      <x:c r="H17" s="28"/>
      <x:c r="I17" s="28"/>
      <x:c r="J17" s="29" t="n">
        <x:v>0.6</x:v>
      </x:c>
      <x:c r="K17" s="25" t="str">
        <x:v>No</x:v>
      </x:c>
      <x:c r="L17" s="37" t="str">
        <x:v>MERIA/; Progress_Tracker/docs/evidence/drift/validation_summary.json</x:v>
      </x:c>
      <x:c r="M17" s="37" t="str"/>
      <x:c r="N17" s="37" t="str">
        <x:v>Tag the cases that should be treated cautiously.</x:v>
      </x:c>
      <x:c r="O17" s="28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36" hidden="0" customHeight="1">
      <x:c r="A18" s="25" t="str">
        <x:v>T-014</x:v>
      </x:c>
      <x:c r="B18" s="26" t="str">
        <x:v>Fieldwork &amp; ground truthing</x:v>
      </x:c>
      <x:c r="C18" s="37" t="str">
        <x:v>Standardise coordinate and location handling</x:v>
      </x:c>
      <x:c r="D18" s="37" t="str">
        <x:v>Consistent coordinates, naming, and geometry handling across project datasets.</x:v>
      </x:c>
      <x:c r="E18" s="25" t="str">
        <x:v>Joshua</x:v>
      </x:c>
      <x:c r="F18" s="25" t="str">
        <x:v>In progress</x:v>
      </x:c>
      <x:c r="G18" s="25" t="str">
        <x:v>Medium</x:v>
      </x:c>
      <x:c r="H18" s="28"/>
      <x:c r="I18" s="28"/>
      <x:c r="J18" s="29" t="n">
        <x:v>0.55</x:v>
      </x:c>
      <x:c r="K18" s="25" t="str">
        <x:v>No</x:v>
      </x:c>
      <x:c r="L18" s="37" t="str">
        <x:v>Data_Creation/Ghana_Full.shp; Scripts/ocean_scan_mireia_patches.geojson</x:v>
      </x:c>
      <x:c r="M18" s="37" t="str"/>
      <x:c r="N18" s="37" t="str">
        <x:v>Confirm that the main study assets align spatially.</x:v>
      </x:c>
      <x:c r="O18" s="28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6" hidden="0" customHeight="1">
      <x:c r="A19" s="25" t="str">
        <x:f t="shared" ref="A19:A204" si="1">IF(C19="","", "T-"&amp;TEXT(ROW()-4,"000"))</x:f>
        <x:v>T-015</x:v>
      </x:c>
      <x:c r="B19" s="26" t="str">
        <x:v>Fieldwork &amp; ground truthing</x:v>
      </x:c>
      <x:c r="C19" s="37" t="str">
        <x:v>Track scene control variables</x:v>
      </x:c>
      <x:c r="D19" s="37" t="str">
        <x:v>A reusable record of scene attributes such as orbit direction, incidence angle, and other comparison controls.</x:v>
      </x:c>
      <x:c r="E19" s="25" t="str">
        <x:v>Joshua</x:v>
      </x:c>
      <x:c r="F19" s="25" t="str">
        <x:v>In progress</x:v>
      </x:c>
      <x:c r="G19" s="25" t="str">
        <x:v>High</x:v>
      </x:c>
      <x:c r="H19" s="28"/>
      <x:c r="I19" s="28"/>
      <x:c r="J19" s="29" t="n">
        <x:v>0.4</x:v>
      </x:c>
      <x:c r="K19" s="25" t="str">
        <x:v>No</x:v>
      </x:c>
      <x:c r="L19" s="37" t="str">
        <x:v>Meeting Log!A5:G5; Data_Creation/process_meria_sa_slc_targets.py</x:v>
      </x:c>
      <x:c r="M19" s="37" t="str"/>
      <x:c r="N19" s="37" t="str">
        <x:v>Add these controls explicitly to the working analysis notes.</x:v>
      </x:c>
      <x:c r="O19" s="28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48" hidden="0" customHeight="1">
      <x:c r="A20" s="25" t="str">
        <x:f t="shared" si="1"/>
        <x:v>T-016</x:v>
      </x:c>
      <x:c r="B20" s="26" t="str">
        <x:v>Fieldwork &amp; ground truthing</x:v>
      </x:c>
      <x:c r="C20" s="37" t="str">
        <x:v>Review digitisation and labeling progress</x:v>
      </x:c>
      <x:c r="D20" s="37" t="str">
        <x:v>A current picture of what has been digitised or curated and what still needs attention.</x:v>
      </x:c>
      <x:c r="E20" s="25" t="str">
        <x:v>Joshua</x:v>
      </x:c>
      <x:c r="F20" s="25" t="str">
        <x:v>In progress</x:v>
      </x:c>
      <x:c r="G20" s="25" t="str">
        <x:v>Medium</x:v>
      </x:c>
      <x:c r="H20" s="28"/>
      <x:c r="I20" s="28"/>
      <x:c r="J20" s="29" t="n">
        <x:v>0.6</x:v>
      </x:c>
      <x:c r="K20" s="25" t="str">
        <x:v>No</x:v>
      </x:c>
      <x:c r="L20" s="37" t="str">
        <x:v>Data_Creation/build_meria_digitisation_tracker.py; Data_Creation/MERIA_digitisation_tracker.docx</x:v>
      </x:c>
      <x:c r="M20" s="37" t="str"/>
      <x:c r="N20" s="37" t="str">
        <x:v>Use the tracker to identify the next labeling priorities.</x:v>
      </x:c>
      <x:c r="O20" s="28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24" hidden="0" customHeight="1">
      <x:c r="A21" s="25" t="str">
        <x:f t="shared" si="1"/>
        <x:v>T-017</x:v>
      </x:c>
      <x:c r="B21" s="26" t="str">
        <x:v>Methodology &amp; modelling</x:v>
      </x:c>
      <x:c r="C21" s="37" t="str">
        <x:v>Write the end-to-end methodology outline</x:v>
      </x:c>
      <x:c r="D21" s="37" t="str">
        <x:v>A plain-language description of the full project workflow from data selection to outputs.</x:v>
      </x:c>
      <x:c r="E21" s="25" t="str">
        <x:v>Joshua</x:v>
      </x:c>
      <x:c r="F21" s="25" t="str">
        <x:v>In progress</x:v>
      </x:c>
      <x:c r="G21" s="25" t="str">
        <x:v>High</x:v>
      </x:c>
      <x:c r="H21" s="28"/>
      <x:c r="I21" s="28"/>
      <x:c r="J21" s="29" t="n">
        <x:v>0.7</x:v>
      </x:c>
      <x:c r="K21" s="25" t="str">
        <x:v>No</x:v>
      </x:c>
      <x:c r="L21" s="37" t="str">
        <x:v>Progress_Tracker/docs/reference/; Pipeline_notes.md</x:v>
      </x:c>
      <x:c r="M21" s="37" t="str"/>
      <x:c r="N21" s="37" t="str">
        <x:v>Condense the current technical notes into one project workflow.</x:v>
      </x:c>
      <x:c r="O21" s="28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24" hidden="0" customHeight="1">
      <x:c r="A22" s="25" t="str">
        <x:f t="shared" si="1"/>
        <x:v>T-018</x:v>
      </x:c>
      <x:c r="B22" s="26" t="str">
        <x:v>Methodology &amp; modelling</x:v>
      </x:c>
      <x:c r="C22" s="37" t="str">
        <x:v>Stabilise the SAR preprocessing workflow</x:v>
      </x:c>
      <x:c r="D22" s="37" t="str">
        <x:v>A reproducible preprocessing path that can be rerun without guesswork.</x:v>
      </x:c>
      <x:c r="E22" s="25" t="str">
        <x:v>Joshua</x:v>
      </x:c>
      <x:c r="F22" s="25" t="str">
        <x:v>In progress</x:v>
      </x:c>
      <x:c r="G22" s="25" t="str">
        <x:v>High</x:v>
      </x:c>
      <x:c r="H22" s="28"/>
      <x:c r="I22" s="28"/>
      <x:c r="J22" s="29" t="n">
        <x:v>0.8</x:v>
      </x:c>
      <x:c r="K22" s="25" t="str">
        <x:v>No</x:v>
      </x:c>
      <x:c r="L22" s="37" t="str">
        <x:v>Data_Creation/process_meria_sa_slc_targets.py; sar_server_pipeline/</x:v>
      </x:c>
      <x:c r="M22" s="37" t="str"/>
      <x:c r="N22" s="37" t="str">
        <x:v>Reduce any remaining ambiguity in the preprocessing steps.</x:v>
      </x:c>
      <x:c r="O22" s="28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36" hidden="0" customHeight="1">
      <x:c r="A23" s="25" t="str">
        <x:f t="shared" si="1"/>
        <x:v>T-019</x:v>
      </x:c>
      <x:c r="B23" s="26" t="str">
        <x:v>Methodology &amp; modelling</x:v>
      </x:c>
      <x:c r="C23" s="37" t="str">
        <x:v>Run pilot processing on representative scenes</x:v>
      </x:c>
      <x:c r="D23" s="37" t="str">
        <x:v>A small set of processed scenes that proves the workflow is working on real examples.</x:v>
      </x:c>
      <x:c r="E23" s="25" t="str">
        <x:v>Joshua</x:v>
      </x:c>
      <x:c r="F23" s="25" t="str">
        <x:v>Complete</x:v>
      </x:c>
      <x:c r="G23" s="25" t="str">
        <x:v>High</x:v>
      </x:c>
      <x:c r="H23" s="28"/>
      <x:c r="I23" s="28"/>
      <x:c r="J23" s="29" t="n">
        <x:v>0.95</x:v>
      </x:c>
      <x:c r="K23" s="25" t="str">
        <x:v>No</x:v>
      </x:c>
      <x:c r="L23" s="37" t="str">
        <x:v>Progress_Tracker/docs/evidence/s1_slc/; Progress_Tracker/docs/reference/meria_sa_slc_science_notes.md</x:v>
      </x:c>
      <x:c r="M23" s="37" t="str"/>
      <x:c r="N23" s="37" t="str">
        <x:v>Use the pilot outputs as the baseline for scaling up.</x:v>
      </x:c>
      <x:c r="O23" s="28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36" hidden="0" customHeight="1">
      <x:c r="A24" s="25" t="str">
        <x:f t="shared" si="1"/>
        <x:v>T-020</x:v>
      </x:c>
      <x:c r="B24" s="26" t="str">
        <x:v>Methodology &amp; modelling</x:v>
      </x:c>
      <x:c r="C24" s="37" t="str">
        <x:v>Scale processing to more scenes</x:v>
      </x:c>
      <x:c r="D24" s="37" t="str">
        <x:v>A broader processed sample that supports comparison across cases instead of only pilot examples.</x:v>
      </x:c>
      <x:c r="E24" s="25" t="str">
        <x:v>Joshua</x:v>
      </x:c>
      <x:c r="F24" s="25" t="str">
        <x:v>In progress</x:v>
      </x:c>
      <x:c r="G24" s="25" t="str">
        <x:v>High</x:v>
      </x:c>
      <x:c r="H24" s="28"/>
      <x:c r="I24" s="28"/>
      <x:c r="J24" s="29" t="n">
        <x:v>0.6</x:v>
      </x:c>
      <x:c r="K24" s="25" t="str">
        <x:v>No</x:v>
      </x:c>
      <x:c r="L24" s="37" t="str">
        <x:v>Data_Creation/meria_sa_plastic_s1_slc; Progress_Tracker/docs/evidence/s1_slc/</x:v>
      </x:c>
      <x:c r="M24" s="37" t="str"/>
      <x:c r="N24" s="37" t="str">
        <x:v>Process the next batch of priority scenes.</x:v>
      </x:c>
      <x:c r="O24" s="28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48" hidden="0" customHeight="1">
      <x:c r="A25" s="25" t="str">
        <x:f t="shared" si="1"/>
        <x:v>T-021</x:v>
      </x:c>
      <x:c r="B25" s="26" t="str">
        <x:v>Methodology &amp; modelling</x:v>
      </x:c>
      <x:c r="C25" s="37" t="str">
        <x:v>Build the patch and feature extraction workflow</x:v>
      </x:c>
      <x:c r="D25" s="37" t="str">
        <x:v>A clean route from processed imagery to analysis-ready patches or features.</x:v>
      </x:c>
      <x:c r="E25" s="25" t="str">
        <x:v>Joshua</x:v>
      </x:c>
      <x:c r="F25" s="25" t="str">
        <x:v>In progress</x:v>
      </x:c>
      <x:c r="G25" s="25" t="str">
        <x:v>High</x:v>
      </x:c>
      <x:c r="H25" s="28"/>
      <x:c r="I25" s="28"/>
      <x:c r="J25" s="29" t="n">
        <x:v>0.75</x:v>
      </x:c>
      <x:c r="K25" s="25" t="str">
        <x:v>No</x:v>
      </x:c>
      <x:c r="L25" s="37" t="str">
        <x:v>Data_Creation/build_sar_patch_library.py; Data_Creation/build_sar_library_analysis.py</x:v>
      </x:c>
      <x:c r="M25" s="37" t="str"/>
      <x:c r="N25" s="37" t="str">
        <x:v>Tighten the workflow around retained samples and outputs.</x:v>
      </x:c>
      <x:c r="O25" s="28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48" hidden="0" customHeight="1">
      <x:c r="A26" s="25" t="str">
        <x:f t="shared" si="1"/>
        <x:v>T-022</x:v>
      </x:c>
      <x:c r="B26" s="26" t="str">
        <x:v>Methodology &amp; modelling</x:v>
      </x:c>
      <x:c r="C26" s="37" t="str">
        <x:v>Define baseline experiments</x:v>
      </x:c>
      <x:c r="D26" s="37" t="str">
        <x:v>A simple first set of experiments that can be explained clearly in the thesis.</x:v>
      </x:c>
      <x:c r="E26" s="25" t="str">
        <x:v>Joshua</x:v>
      </x:c>
      <x:c r="F26" s="25" t="str">
        <x:v>In progress</x:v>
      </x:c>
      <x:c r="G26" s="25" t="str">
        <x:v>Medium</x:v>
      </x:c>
      <x:c r="H26" s="28"/>
      <x:c r="I26" s="28"/>
      <x:c r="J26" s="29" t="n">
        <x:v>0.5</x:v>
      </x:c>
      <x:c r="K26" s="25" t="str">
        <x:v>No</x:v>
      </x:c>
      <x:c r="L26" s="37" t="str">
        <x:v>Progress_Tracker/docs/evidence/segmentation/summary.json; Progress_Tracker/docs/evidence/patches/</x:v>
      </x:c>
      <x:c r="M26" s="37" t="str"/>
      <x:c r="N26" s="37" t="str">
        <x:v>Keep the baseline small enough to interpret well.</x:v>
      </x:c>
      <x:c r="O26" s="28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24" hidden="0" customHeight="1">
      <x:c r="A27" s="25" t="str">
        <x:f t="shared" si="1"/>
        <x:v>T-023</x:v>
      </x:c>
      <x:c r="B27" s="26" t="str">
        <x:v>Methodology &amp; modelling</x:v>
      </x:c>
      <x:c r="C27" s="37" t="str">
        <x:v>Run initial modelling experiments</x:v>
      </x:c>
      <x:c r="D27" s="37" t="str">
        <x:v>One or more baseline experiment runs with saved outputs for later comparison.</x:v>
      </x:c>
      <x:c r="E27" s="25" t="str">
        <x:v>Joshua</x:v>
      </x:c>
      <x:c r="F27" s="25" t="str">
        <x:v>In progress</x:v>
      </x:c>
      <x:c r="G27" s="25" t="str">
        <x:v>Medium</x:v>
      </x:c>
      <x:c r="H27" s="28"/>
      <x:c r="I27" s="28"/>
      <x:c r="J27" s="29" t="n">
        <x:v>0.45</x:v>
      </x:c>
      <x:c r="K27" s="25" t="str">
        <x:v>No</x:v>
      </x:c>
      <x:c r="L27" s="37" t="str">
        <x:v>Progress_Tracker/docs/evidence/segmentation/summary.json</x:v>
      </x:c>
      <x:c r="M27" s="37" t="str"/>
      <x:c r="N27" s="37" t="str">
        <x:v>Record what worked and what clearly needs improvement.</x:v>
      </x:c>
      <x:c r="O27" s="28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24" hidden="0" customHeight="1">
      <x:c r="A28" s="25" t="str">
        <x:f t="shared" si="1"/>
        <x:v>T-024</x:v>
      </x:c>
      <x:c r="B28" s="26" t="str">
        <x:v>Methodology &amp; modelling</x:v>
      </x:c>
      <x:c r="C28" s="37" t="str">
        <x:v>Prepare the server-side processing setup</x:v>
      </x:c>
      <x:c r="D28" s="37" t="str">
        <x:v>A deployment-ready workflow that can run the processing on the target server when needed.</x:v>
      </x:c>
      <x:c r="E28" s="25" t="str">
        <x:v>Joshua</x:v>
      </x:c>
      <x:c r="F28" s="25" t="str">
        <x:v>In progress</x:v>
      </x:c>
      <x:c r="G28" s="25" t="str">
        <x:v>Medium</x:v>
      </x:c>
      <x:c r="H28" s="28"/>
      <x:c r="I28" s="28"/>
      <x:c r="J28" s="29" t="n">
        <x:v>0.65</x:v>
      </x:c>
      <x:c r="K28" s="25" t="str">
        <x:v>No</x:v>
      </x:c>
      <x:c r="L28" s="37" t="str">
        <x:v>sar_server_pipeline/docs/runbook.md; sar_server_pipeline/compose.yml</x:v>
      </x:c>
      <x:c r="M28" s="37" t="str"/>
      <x:c r="N28" s="37" t="str">
        <x:v>Finish the setup path needed for a practical server run.</x:v>
      </x:c>
      <x:c r="O28" s="28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36" hidden="0" customHeight="1">
      <x:c r="A29" s="25" t="str">
        <x:f t="shared" si="1"/>
        <x:v>T-025</x:v>
      </x:c>
      <x:c r="B29" s="26" t="str">
        <x:v>Analysis &amp; validation</x:v>
      </x:c>
      <x:c r="C29" s="37" t="str">
        <x:v>Explore feature distributions</x:v>
      </x:c>
      <x:c r="D29" s="37" t="str">
        <x:v>Basic plots and summaries showing how important variables behave across classes or cases.</x:v>
      </x:c>
      <x:c r="E29" s="25" t="str">
        <x:v>Joshua</x:v>
      </x:c>
      <x:c r="F29" s="25" t="str">
        <x:v>Complete</x:v>
      </x:c>
      <x:c r="G29" s="25" t="str">
        <x:v>High</x:v>
      </x:c>
      <x:c r="H29" s="28"/>
      <x:c r="I29" s="28"/>
      <x:c r="J29" s="29" t="n">
        <x:v>0.9</x:v>
      </x:c>
      <x:c r="K29" s="25" t="str">
        <x:v>No</x:v>
      </x:c>
      <x:c r="L29" s="37" t="str">
        <x:v>Progress_Tracker/docs/evidence/patches/plastic_feature_distributions.png</x:v>
      </x:c>
      <x:c r="M29" s="37" t="str"/>
      <x:c r="N29" s="37" t="str">
        <x:v>Use the outputs to decide which features deserve emphasis.</x:v>
      </x:c>
      <x:c r="O29" s="28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36" hidden="0" customHeight="1">
      <x:c r="A30" s="25" t="str">
        <x:f t="shared" si="1"/>
        <x:v>T-026</x:v>
      </x:c>
      <x:c r="B30" s="26" t="str">
        <x:v>Analysis &amp; validation</x:v>
      </x:c>
      <x:c r="C30" s="37" t="str">
        <x:v>Compare separability between important classes</x:v>
      </x:c>
      <x:c r="D30" s="37" t="str">
        <x:v>A first check of whether the main classes look distinguishable in the available features.</x:v>
      </x:c>
      <x:c r="E30" s="25" t="str">
        <x:v>Joshua</x:v>
      </x:c>
      <x:c r="F30" s="25" t="str">
        <x:v>Complete</x:v>
      </x:c>
      <x:c r="G30" s="25" t="str">
        <x:v>High</x:v>
      </x:c>
      <x:c r="H30" s="28"/>
      <x:c r="I30" s="28"/>
      <x:c r="J30" s="29" t="n">
        <x:v>0.85</x:v>
      </x:c>
      <x:c r="K30" s="25" t="str">
        <x:v>No</x:v>
      </x:c>
      <x:c r="L30" s="37" t="str">
        <x:v>Progress_Tracker/docs/evidence/patches/ghana_plastic_vs_other_feature_importance.csv</x:v>
      </x:c>
      <x:c r="M30" s="37" t="str"/>
      <x:c r="N30" s="37" t="str">
        <x:v>Turn the most useful comparisons into thesis-ready talking points.</x:v>
      </x:c>
      <x:c r="O30" s="28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48" hidden="0" customHeight="1">
      <x:c r="A31" s="25" t="str">
        <x:f t="shared" si="1"/>
        <x:v>T-027</x:v>
      </x:c>
      <x:c r="B31" s="26" t="str">
        <x:v>Analysis &amp; validation</x:v>
      </x:c>
      <x:c r="C31" s="37" t="str">
        <x:v>Validate drift outputs against detections</x:v>
      </x:c>
      <x:c r="D31" s="37" t="str">
        <x:v>A straightforward comparison between modeled drift positions and observed detections.</x:v>
      </x:c>
      <x:c r="E31" s="25" t="str">
        <x:v>Joshua</x:v>
      </x:c>
      <x:c r="F31" s="25" t="str">
        <x:v>In progress</x:v>
      </x:c>
      <x:c r="G31" s="25" t="str">
        <x:v>High</x:v>
      </x:c>
      <x:c r="H31" s="28"/>
      <x:c r="I31" s="28"/>
      <x:c r="J31" s="29" t="n">
        <x:v>0.7</x:v>
      </x:c>
      <x:c r="K31" s="25" t="str">
        <x:v>No</x:v>
      </x:c>
      <x:c r="L31" s="37" t="str">
        <x:v>Progress_Tracker/docs/evidence/drift/drift_summary.json; Progress_Tracker/docs/evidence/drift/validation_summary.json</x:v>
      </x:c>
      <x:c r="M31" s="37" t="str"/>
      <x:c r="N31" s="37" t="str">
        <x:v>Write down what the drift validation does and does not show.</x:v>
      </x:c>
      <x:c r="O31" s="28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24" hidden="0" customHeight="1">
      <x:c r="A32" s="25" t="str">
        <x:f t="shared" si="1"/>
        <x:v>T-028</x:v>
      </x:c>
      <x:c r="B32" s="26" t="str">
        <x:v>Analysis &amp; validation</x:v>
      </x:c>
      <x:c r="C32" s="37" t="str">
        <x:v>Review model success and failure cases</x:v>
      </x:c>
      <x:c r="D32" s="37" t="str">
        <x:v>A visual review of where the baseline behaves well and where it breaks down.</x:v>
      </x:c>
      <x:c r="E32" s="25" t="str">
        <x:v>Joshua</x:v>
      </x:c>
      <x:c r="F32" s="25" t="str">
        <x:v>In progress</x:v>
      </x:c>
      <x:c r="G32" s="25" t="str">
        <x:v>Medium</x:v>
      </x:c>
      <x:c r="H32" s="28"/>
      <x:c r="I32" s="28"/>
      <x:c r="J32" s="29" t="n">
        <x:v>0.45</x:v>
      </x:c>
      <x:c r="K32" s="25" t="str">
        <x:v>No</x:v>
      </x:c>
      <x:c r="L32" s="37" t="str">
        <x:v>Progress_Tracker/docs/evidence/segmentation/</x:v>
      </x:c>
      <x:c r="M32" s="37" t="str"/>
      <x:c r="N32" s="37" t="str">
        <x:v>Summarise the most instructive failure patterns.</x:v>
      </x:c>
      <x:c r="O32" s="28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48" hidden="0" customHeight="1">
      <x:c r="A33" s="25" t="str">
        <x:f t="shared" si="1"/>
        <x:v>T-029</x:v>
      </x:c>
      <x:c r="B33" s="26" t="str">
        <x:v>Analysis &amp; validation</x:v>
      </x:c>
      <x:c r="C33" s="37" t="str">
        <x:v>Document the main findings from the first analyses</x:v>
      </x:c>
      <x:c r="D33" s="37" t="str">
        <x:v>Short written findings that can be reused directly in the thesis or presentations.</x:v>
      </x:c>
      <x:c r="E33" s="25" t="str">
        <x:v>Joshua</x:v>
      </x:c>
      <x:c r="F33" s="25" t="str">
        <x:v>In progress</x:v>
      </x:c>
      <x:c r="G33" s="25" t="str">
        <x:v>High</x:v>
      </x:c>
      <x:c r="H33" s="28"/>
      <x:c r="I33" s="28"/>
      <x:c r="J33" s="29" t="n">
        <x:v>0.4</x:v>
      </x:c>
      <x:c r="K33" s="25" t="str">
        <x:v>No</x:v>
      </x:c>
      <x:c r="L33" s="37" t="str">
        <x:v>Progress_Tracker/docs/evidence/patches/; Progress_Tracker/docs/evidence/drift/; Progress_Tracker/docs/evidence/segmentation/</x:v>
      </x:c>
      <x:c r="M33" s="37" t="str"/>
      <x:c r="N33" s="37" t="str">
        <x:v>Translate outputs into simple claims with caveats.</x:v>
      </x:c>
      <x:c r="O33" s="28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24" hidden="0" customHeight="1">
      <x:c r="A34" s="25" t="str">
        <x:f t="shared" si="1"/>
        <x:v>T-030</x:v>
      </x:c>
      <x:c r="B34" s="26" t="str">
        <x:v>Analysis &amp; validation</x:v>
      </x:c>
      <x:c r="C34" s="37" t="str">
        <x:v>Define the final evaluation checklist</x:v>
      </x:c>
      <x:c r="D34" s="37" t="str">
        <x:v>A compact checklist for deciding whether a result is ready to report.</x:v>
      </x:c>
      <x:c r="E34" s="25" t="str">
        <x:v>Joshua</x:v>
      </x:c>
      <x:c r="F34" s="25" t="str">
        <x:v>Not started</x:v>
      </x:c>
      <x:c r="G34" s="25" t="str">
        <x:v>Medium</x:v>
      </x:c>
      <x:c r="H34" s="28"/>
      <x:c r="I34" s="28"/>
      <x:c r="J34" s="29" t="n">
        <x:v>0.15</x:v>
      </x:c>
      <x:c r="K34" s="25" t="str">
        <x:v>No</x:v>
      </x:c>
      <x:c r="L34" s="37" t="str">
        <x:v>Progress_Tracker/docs/evidence/; docs/</x:v>
      </x:c>
      <x:c r="M34" s="37" t="str"/>
      <x:c r="N34" s="37" t="str">
        <x:v>List the exact checks to apply before claiming a result.</x:v>
      </x:c>
      <x:c r="O34" s="28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36" hidden="0" customHeight="1">
      <x:c r="A35" s="25" t="str">
        <x:f t="shared" si="1"/>
        <x:v>T-031</x:v>
      </x:c>
      <x:c r="B35" s="26" t="str">
        <x:v>Thesis writing &amp; outputs</x:v>
      </x:c>
      <x:c r="C35" s="37" t="str">
        <x:v>Draft the thesis chapter structure</x:v>
      </x:c>
      <x:c r="D35" s="37" t="str">
        <x:v>A full chapter outline covering introduction, literature, data, methods, results, and discussion.</x:v>
      </x:c>
      <x:c r="E35" s="25" t="str">
        <x:v>Joshua</x:v>
      </x:c>
      <x:c r="F35" s="25" t="str">
        <x:v>In progress</x:v>
      </x:c>
      <x:c r="G35" s="25" t="str">
        <x:v>High</x:v>
      </x:c>
      <x:c r="H35" s="28"/>
      <x:c r="I35" s="28"/>
      <x:c r="J35" s="29" t="n">
        <x:v>0.6</x:v>
      </x:c>
      <x:c r="K35" s="25" t="str">
        <x:v>No</x:v>
      </x:c>
      <x:c r="L35" s="37" t="str">
        <x:v>Writing/; docs/</x:v>
      </x:c>
      <x:c r="M35" s="37" t="str"/>
      <x:c r="N35" s="37" t="str">
        <x:v>Lock the chapter order and subsection names.</x:v>
      </x:c>
      <x:c r="O35" s="28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24" hidden="0" customHeight="1">
      <x:c r="A36" s="25" t="str">
        <x:f t="shared" si="1"/>
        <x:v>T-032</x:v>
      </x:c>
      <x:c r="B36" s="26" t="str">
        <x:v>Thesis writing &amp; outputs</x:v>
      </x:c>
      <x:c r="C36" s="37" t="str">
        <x:v>Write the methods chapter draft</x:v>
      </x:c>
      <x:c r="D36" s="37" t="str">
        <x:v>A readable first draft of the methods chapter based on the workflow already built.</x:v>
      </x:c>
      <x:c r="E36" s="25" t="str">
        <x:v>Joshua</x:v>
      </x:c>
      <x:c r="F36" s="25" t="str">
        <x:v>In progress</x:v>
      </x:c>
      <x:c r="G36" s="25" t="str">
        <x:v>High</x:v>
      </x:c>
      <x:c r="H36" s="28"/>
      <x:c r="I36" s="28"/>
      <x:c r="J36" s="29" t="n">
        <x:v>0.55</x:v>
      </x:c>
      <x:c r="K36" s="25" t="str">
        <x:v>No</x:v>
      </x:c>
      <x:c r="L36" s="37" t="str">
        <x:v>Progress_Tracker/docs/reference/; sar_server_pipeline/docs/runbook.md</x:v>
      </x:c>
      <x:c r="M36" s="37" t="str"/>
      <x:c r="N36" s="37" t="str">
        <x:v>Start converting technical notes into thesis prose.</x:v>
      </x:c>
      <x:c r="O36" s="28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24" hidden="0" customHeight="1">
      <x:c r="A37" s="25" t="str">
        <x:f t="shared" si="1"/>
        <x:v>T-033</x:v>
      </x:c>
      <x:c r="B37" s="26" t="str">
        <x:v>Thesis writing &amp; outputs</x:v>
      </x:c>
      <x:c r="C37" s="37" t="str">
        <x:v>Draft the data and study-area sections</x:v>
      </x:c>
      <x:c r="D37" s="37" t="str">
        <x:v>A thesis-ready explanation of the datasets, study areas, and supporting metadata.</x:v>
      </x:c>
      <x:c r="E37" s="25" t="str">
        <x:v>Joshua</x:v>
      </x:c>
      <x:c r="F37" s="25" t="str">
        <x:v>Not started</x:v>
      </x:c>
      <x:c r="G37" s="25" t="str">
        <x:v>High</x:v>
      </x:c>
      <x:c r="H37" s="28"/>
      <x:c r="I37" s="28"/>
      <x:c r="J37" s="29" t="n">
        <x:v>0.25</x:v>
      </x:c>
      <x:c r="K37" s="25" t="str">
        <x:v>No</x:v>
      </x:c>
      <x:c r="L37" s="37" t="str">
        <x:v>MERIA/; Data_Creation/; Progress_Tracker/docs/reference/</x:v>
      </x:c>
      <x:c r="M37" s="37" t="str"/>
      <x:c r="N37" s="37" t="str">
        <x:v>Use the current data inventory as the basis for this section.</x:v>
      </x:c>
      <x:c r="O37" s="28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24" hidden="0" customHeight="1">
      <x:c r="A38" s="25" t="str">
        <x:f t="shared" si="1"/>
        <x:v>T-034</x:v>
      </x:c>
      <x:c r="B38" s="26" t="str">
        <x:v>Thesis writing &amp; outputs</x:v>
      </x:c>
      <x:c r="C38" s="37" t="str">
        <x:v>Draft the results section</x:v>
      </x:c>
      <x:c r="D38" s="37" t="str">
        <x:v>An early write-up of the main results using the strongest current outputs.</x:v>
      </x:c>
      <x:c r="E38" s="25" t="str">
        <x:v>Joshua</x:v>
      </x:c>
      <x:c r="F38" s="25" t="str">
        <x:v>Not started</x:v>
      </x:c>
      <x:c r="G38" s="25" t="str">
        <x:v>High</x:v>
      </x:c>
      <x:c r="H38" s="28"/>
      <x:c r="I38" s="28"/>
      <x:c r="J38" s="29" t="n">
        <x:v>0.2</x:v>
      </x:c>
      <x:c r="K38" s="25" t="str">
        <x:v>No</x:v>
      </x:c>
      <x:c r="L38" s="37" t="str">
        <x:v>Progress_Tracker/docs/evidence/</x:v>
      </x:c>
      <x:c r="M38" s="37" t="str"/>
      <x:c r="N38" s="37" t="str">
        <x:v>Pick the minimum set of results needed for a first draft.</x:v>
      </x:c>
      <x:c r="O38" s="28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60" hidden="0" customHeight="1">
      <x:c r="A39" s="25" t="str">
        <x:f t="shared" si="1"/>
        <x:v>T-035</x:v>
      </x:c>
      <x:c r="B39" s="26" t="str">
        <x:v>Thesis writing &amp; outputs</x:v>
      </x:c>
      <x:c r="C39" s="37" t="str">
        <x:v>Curate figures and tables for the thesis</x:v>
      </x:c>
      <x:c r="D39" s="37" t="str">
        <x:v>A shortlist of visuals and tables that are clean enough to use in the written thesis.</x:v>
      </x:c>
      <x:c r="E39" s="25" t="str">
        <x:v>Joshua</x:v>
      </x:c>
      <x:c r="F39" s="25" t="str">
        <x:v>In progress</x:v>
      </x:c>
      <x:c r="G39" s="25" t="str">
        <x:v>High</x:v>
      </x:c>
      <x:c r="H39" s="28"/>
      <x:c r="I39" s="28"/>
      <x:c r="J39" s="29" t="n">
        <x:v>0.5</x:v>
      </x:c>
      <x:c r="K39" s="25" t="str">
        <x:v>No</x:v>
      </x:c>
      <x:c r="L39" s="37" t="str">
        <x:v>Progress_Tracker/docs/evidence/patches/; Progress_Tracker/docs/evidence/segmentation/; Progress_Tracker/docs/evidence/drift/</x:v>
      </x:c>
      <x:c r="M39" s="37" t="str"/>
      <x:c r="N39" s="37" t="str">
        <x:v>Select the strongest visuals and start drafting captions.</x:v>
      </x:c>
      <x:c r="O39" s="28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24" hidden="0" customHeight="1">
      <x:c r="A40" s="25" t="str">
        <x:f t="shared" si="1"/>
        <x:v>T-036</x:v>
      </x:c>
      <x:c r="B40" s="26" t="str">
        <x:v>Thesis writing &amp; outputs</x:v>
      </x:c>
      <x:c r="C40" s="37" t="str">
        <x:v>Prepare a supervisor review pack</x:v>
      </x:c>
      <x:c r="D40" s="37" t="str">
        <x:v>A manageable set of notes, figures, and status points for a productive review conversation.</x:v>
      </x:c>
      <x:c r="E40" s="25" t="str">
        <x:v>Joshua</x:v>
      </x:c>
      <x:c r="F40" s="25" t="str">
        <x:v>In progress</x:v>
      </x:c>
      <x:c r="G40" s="25" t="str">
        <x:v>Medium</x:v>
      </x:c>
      <x:c r="H40" s="28"/>
      <x:c r="I40" s="28"/>
      <x:c r="J40" s="29" t="n">
        <x:v>0.45</x:v>
      </x:c>
      <x:c r="K40" s="25" t="str">
        <x:v>No</x:v>
      </x:c>
      <x:c r="L40" s="37" t="str">
        <x:v>Progress_Tracker/docs/evidence/; Progress_Tracker/docs/reference/</x:v>
      </x:c>
      <x:c r="M40" s="37" t="str"/>
      <x:c r="N40" s="37" t="str">
        <x:v>Package the current state into something easy to review.</x:v>
      </x:c>
      <x:c r="O40" s="28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24" hidden="0" customHeight="1">
      <x:c r="A41" s="25" t="str">
        <x:f t="shared" si="1"/>
        <x:v>T-037</x:v>
      </x:c>
      <x:c r="B41" s="26" t="str">
        <x:v>Thesis writing &amp; outputs</x:v>
      </x:c>
      <x:c r="C41" s="37" t="str">
        <x:v>Maintain reproducibility notes and appendices</x:v>
      </x:c>
      <x:c r="D41" s="37" t="str">
        <x:v>Supporting notes that explain how the work was run and what the key outputs mean.</x:v>
      </x:c>
      <x:c r="E41" s="25" t="str">
        <x:v>Joshua</x:v>
      </x:c>
      <x:c r="F41" s="25" t="str">
        <x:v>In progress</x:v>
      </x:c>
      <x:c r="G41" s="25" t="str">
        <x:v>Medium</x:v>
      </x:c>
      <x:c r="H41" s="28"/>
      <x:c r="I41" s="28"/>
      <x:c r="J41" s="29" t="n">
        <x:v>0.65</x:v>
      </x:c>
      <x:c r="K41" s="25" t="str">
        <x:v>No</x:v>
      </x:c>
      <x:c r="L41" s="37" t="str">
        <x:v>sar_server_pipeline/docs/runbook.md; Progress_Tracker/docs/reference/</x:v>
      </x:c>
      <x:c r="M41" s="37" t="str"/>
      <x:c r="N41" s="37" t="str">
        <x:v>Keep the support material aligned with the current workflow.</x:v>
      </x:c>
      <x:c r="O41" s="28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36" hidden="0" customHeight="1">
      <x:c r="A42" s="25" t="str">
        <x:f t="shared" si="1"/>
        <x:v>T-038</x:v>
      </x:c>
      <x:c r="B42" s="26" t="str">
        <x:v>Admin &amp; meetings</x:v>
      </x:c>
      <x:c r="C42" s="37" t="str">
        <x:v>Keep the masters tracker up to date</x:v>
      </x:c>
      <x:c r="D42" s="37" t="str">
        <x:v>A tracker that reflects the real state of the MSc project at a useful level of detail.</x:v>
      </x:c>
      <x:c r="E42" s="25" t="str">
        <x:v>Joshua</x:v>
      </x:c>
      <x:c r="F42" s="25" t="str">
        <x:v>Complete</x:v>
      </x:c>
      <x:c r="G42" s="25" t="str">
        <x:v>High</x:v>
      </x:c>
      <x:c r="H42" s="28"/>
      <x:c r="I42" s="28"/>
      <x:c r="J42" s="29" t="n">
        <x:v>1</x:v>
      </x:c>
      <x:c r="K42" s="25" t="str">
        <x:v>No</x:v>
      </x:c>
      <x:c r="L42" s="37" t="str">
        <x:v>C:/Users/Joshua Pretorius/Downloads/Joshua_Msc_Task.xlsx</x:v>
      </x:c>
      <x:c r="M42" s="37" t="str"/>
      <x:c r="N42" s="37" t="str">
        <x:v>Use this tracker as the main planning view going forward.</x:v>
      </x:c>
      <x:c r="O42" s="28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24" hidden="0" customHeight="1">
      <x:c r="A43" s="25" t="str">
        <x:f t="shared" si="1"/>
        <x:v>T-039</x:v>
      </x:c>
      <x:c r="B43" s="26" t="str">
        <x:v>Admin &amp; meetings</x:v>
      </x:c>
      <x:c r="C43" s="37" t="str">
        <x:v>Prepare talking points before supervisor meetings</x:v>
      </x:c>
      <x:c r="D43" s="37" t="str">
        <x:v>A short agenda and decision list ready before each meeting.</x:v>
      </x:c>
      <x:c r="E43" s="25" t="str">
        <x:v>Joshua</x:v>
      </x:c>
      <x:c r="F43" s="25" t="str">
        <x:v>In progress</x:v>
      </x:c>
      <x:c r="G43" s="25" t="str">
        <x:v>Medium</x:v>
      </x:c>
      <x:c r="H43" s="28"/>
      <x:c r="I43" s="28"/>
      <x:c r="J43" s="29" t="n">
        <x:v>0.4</x:v>
      </x:c>
      <x:c r="K43" s="25" t="str">
        <x:v>No</x:v>
      </x:c>
      <x:c r="L43" s="37" t="str">
        <x:v>Meeting Log!A5:G5</x:v>
      </x:c>
      <x:c r="M43" s="37" t="str"/>
      <x:c r="N43" s="37" t="str">
        <x:v>List the open questions and decisions needed next.</x:v>
      </x:c>
      <x:c r="O43" s="28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24" hidden="0" customHeight="1">
      <x:c r="A44" s="25" t="str">
        <x:f t="shared" si="1"/>
        <x:v>T-040</x:v>
      </x:c>
      <x:c r="B44" s="26" t="str">
        <x:v>Admin &amp; meetings</x:v>
      </x:c>
      <x:c r="C44" s="37" t="str">
        <x:v>Record actions and decisions after meetings</x:v>
      </x:c>
      <x:c r="D44" s="37" t="str">
        <x:v>An updated meeting log with follow-up actions clearly captured.</x:v>
      </x:c>
      <x:c r="E44" s="25" t="str">
        <x:v>Joshua</x:v>
      </x:c>
      <x:c r="F44" s="25" t="str">
        <x:v>In progress</x:v>
      </x:c>
      <x:c r="G44" s="25" t="str">
        <x:v>Medium</x:v>
      </x:c>
      <x:c r="H44" s="28"/>
      <x:c r="I44" s="28"/>
      <x:c r="J44" s="29" t="n">
        <x:v>0.35</x:v>
      </x:c>
      <x:c r="K44" s="25" t="str">
        <x:v>No</x:v>
      </x:c>
      <x:c r="L44" s="37" t="str">
        <x:v>Meeting Log!A5:G5</x:v>
      </x:c>
      <x:c r="M44" s="37" t="str"/>
      <x:c r="N44" s="37" t="str">
        <x:v>Keep the log current after each supervisor discussion.</x:v>
      </x:c>
      <x:c r="O44" s="28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24" hidden="0" customHeight="1">
      <x:c r="A45" s="25" t="str">
        <x:f t="shared" si="1"/>
        <x:v>T-041</x:v>
      </x:c>
      <x:c r="B45" s="26" t="str">
        <x:v>Admin &amp; meetings</x:v>
      </x:c>
      <x:c r="C45" s="37" t="str">
        <x:v>Break the next phase into weekly priorities</x:v>
      </x:c>
      <x:c r="D45" s="37" t="str">
        <x:v>A short rolling priority list that helps move from broad project goals to immediate work.</x:v>
      </x:c>
      <x:c r="E45" s="25" t="str">
        <x:v>Joshua</x:v>
      </x:c>
      <x:c r="F45" s="25" t="str">
        <x:v>In progress</x:v>
      </x:c>
      <x:c r="G45" s="25" t="str">
        <x:v>Medium</x:v>
      </x:c>
      <x:c r="H45" s="28"/>
      <x:c r="I45" s="28"/>
      <x:c r="J45" s="29" t="n">
        <x:v>0.3</x:v>
      </x:c>
      <x:c r="K45" s="25" t="str">
        <x:v>No</x:v>
      </x:c>
      <x:c r="L45" s="37" t="str">
        <x:v>Joshua_Msc_Task_populated.xlsx</x:v>
      </x:c>
      <x:c r="M45" s="37" t="str"/>
      <x:c r="N45" s="37" t="str">
        <x:v>Turn the highest-priority open tasks into the next weekly plan.</x:v>
      </x:c>
      <x:c r="O45" s="28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.75" customHeight="1">
      <x:c r="A46" s="25">
        <x:f t="shared" si="1"/>
      </x:c>
      <x:c r="B46" s="26"/>
      <x:c r="C46" s="26"/>
      <x:c r="D46" s="26"/>
      <x:c r="E46" s="25"/>
      <x:c r="F46" s="25"/>
      <x:c r="G46" s="25"/>
      <x:c r="H46" s="28"/>
      <x:c r="I46" s="28"/>
      <x:c r="J46" s="29"/>
      <x:c r="K46" s="25"/>
      <x:c r="L46" s="26"/>
      <x:c r="M46" s="26"/>
      <x:c r="N46" s="26"/>
      <x:c r="O46" s="28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.75" customHeight="1">
      <x:c r="A47" s="25">
        <x:f t="shared" si="1"/>
      </x:c>
      <x:c r="B47" s="26"/>
      <x:c r="C47" s="26"/>
      <x:c r="D47" s="26"/>
      <x:c r="E47" s="25"/>
      <x:c r="F47" s="25"/>
      <x:c r="G47" s="25"/>
      <x:c r="H47" s="28"/>
      <x:c r="I47" s="28"/>
      <x:c r="J47" s="29"/>
      <x:c r="K47" s="25"/>
      <x:c r="L47" s="26"/>
      <x:c r="M47" s="26"/>
      <x:c r="N47" s="26"/>
      <x:c r="O47" s="28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.75" customHeight="1">
      <x:c r="A48" s="25">
        <x:f t="shared" si="1"/>
      </x:c>
      <x:c r="B48" s="26"/>
      <x:c r="C48" s="26"/>
      <x:c r="D48" s="26"/>
      <x:c r="E48" s="25"/>
      <x:c r="F48" s="25"/>
      <x:c r="G48" s="25"/>
      <x:c r="H48" s="28"/>
      <x:c r="I48" s="28"/>
      <x:c r="J48" s="29"/>
      <x:c r="K48" s="25"/>
      <x:c r="L48" s="26"/>
      <x:c r="M48" s="26"/>
      <x:c r="N48" s="26"/>
      <x:c r="O48" s="28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.75" customHeight="1">
      <x:c r="A49" s="25">
        <x:f t="shared" si="1"/>
      </x:c>
      <x:c r="B49" s="26"/>
      <x:c r="C49" s="26"/>
      <x:c r="D49" s="26"/>
      <x:c r="E49" s="25"/>
      <x:c r="F49" s="25"/>
      <x:c r="G49" s="25"/>
      <x:c r="H49" s="28"/>
      <x:c r="I49" s="28"/>
      <x:c r="J49" s="29"/>
      <x:c r="K49" s="25"/>
      <x:c r="L49" s="26"/>
      <x:c r="M49" s="26"/>
      <x:c r="N49" s="26"/>
      <x:c r="O49" s="28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.75" customHeight="1">
      <x:c r="A50" s="25">
        <x:f t="shared" si="1"/>
      </x:c>
      <x:c r="B50" s="26"/>
      <x:c r="C50" s="26"/>
      <x:c r="D50" s="26"/>
      <x:c r="E50" s="25"/>
      <x:c r="F50" s="25"/>
      <x:c r="G50" s="25"/>
      <x:c r="H50" s="28"/>
      <x:c r="I50" s="28"/>
      <x:c r="J50" s="29"/>
      <x:c r="K50" s="25"/>
      <x:c r="L50" s="26"/>
      <x:c r="M50" s="26"/>
      <x:c r="N50" s="26"/>
      <x:c r="O50" s="28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.75" customHeight="1">
      <x:c r="A51" s="25">
        <x:f t="shared" si="1"/>
      </x:c>
      <x:c r="B51" s="26"/>
      <x:c r="C51" s="26"/>
      <x:c r="D51" s="26"/>
      <x:c r="E51" s="25"/>
      <x:c r="F51" s="25"/>
      <x:c r="G51" s="25"/>
      <x:c r="H51" s="28"/>
      <x:c r="I51" s="28"/>
      <x:c r="J51" s="29"/>
      <x:c r="K51" s="25"/>
      <x:c r="L51" s="26"/>
      <x:c r="M51" s="26"/>
      <x:c r="N51" s="26"/>
      <x:c r="O51" s="28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.75" customHeight="1">
      <x:c r="A52" s="25">
        <x:f t="shared" si="1"/>
      </x:c>
      <x:c r="B52" s="26"/>
      <x:c r="C52" s="26"/>
      <x:c r="D52" s="26"/>
      <x:c r="E52" s="25"/>
      <x:c r="F52" s="25"/>
      <x:c r="G52" s="25"/>
      <x:c r="H52" s="28"/>
      <x:c r="I52" s="28"/>
      <x:c r="J52" s="29"/>
      <x:c r="K52" s="25"/>
      <x:c r="L52" s="26"/>
      <x:c r="M52" s="26"/>
      <x:c r="N52" s="26"/>
      <x:c r="O52" s="28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.75" customHeight="1">
      <x:c r="A53" s="25">
        <x:f t="shared" si="1"/>
      </x:c>
      <x:c r="B53" s="26"/>
      <x:c r="C53" s="26"/>
      <x:c r="D53" s="26"/>
      <x:c r="E53" s="25"/>
      <x:c r="F53" s="25"/>
      <x:c r="G53" s="25"/>
      <x:c r="H53" s="28"/>
      <x:c r="I53" s="28"/>
      <x:c r="J53" s="29"/>
      <x:c r="K53" s="25"/>
      <x:c r="L53" s="26"/>
      <x:c r="M53" s="26"/>
      <x:c r="N53" s="26"/>
      <x:c r="O53" s="28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.75" customHeight="1">
      <x:c r="A54" s="25">
        <x:f t="shared" si="1"/>
      </x:c>
      <x:c r="B54" s="26"/>
      <x:c r="C54" s="26"/>
      <x:c r="D54" s="26"/>
      <x:c r="E54" s="25"/>
      <x:c r="F54" s="25"/>
      <x:c r="G54" s="25"/>
      <x:c r="H54" s="28"/>
      <x:c r="I54" s="28"/>
      <x:c r="J54" s="29"/>
      <x:c r="K54" s="25"/>
      <x:c r="L54" s="26"/>
      <x:c r="M54" s="26"/>
      <x:c r="N54" s="26"/>
      <x:c r="O54" s="28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.75" customHeight="1">
      <x:c r="A55" s="25">
        <x:f t="shared" si="1"/>
      </x:c>
      <x:c r="B55" s="26"/>
      <x:c r="C55" s="26"/>
      <x:c r="D55" s="26"/>
      <x:c r="E55" s="25"/>
      <x:c r="F55" s="25"/>
      <x:c r="G55" s="25"/>
      <x:c r="H55" s="28"/>
      <x:c r="I55" s="28"/>
      <x:c r="J55" s="29"/>
      <x:c r="K55" s="25"/>
      <x:c r="L55" s="26"/>
      <x:c r="M55" s="26"/>
      <x:c r="N55" s="26"/>
      <x:c r="O55" s="28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.75" customHeight="1">
      <x:c r="A56" s="25">
        <x:f t="shared" si="1"/>
      </x:c>
      <x:c r="B56" s="26"/>
      <x:c r="C56" s="26"/>
      <x:c r="D56" s="26"/>
      <x:c r="E56" s="25"/>
      <x:c r="F56" s="25"/>
      <x:c r="G56" s="25"/>
      <x:c r="H56" s="28"/>
      <x:c r="I56" s="28"/>
      <x:c r="J56" s="29"/>
      <x:c r="K56" s="25"/>
      <x:c r="L56" s="26"/>
      <x:c r="M56" s="26"/>
      <x:c r="N56" s="26"/>
      <x:c r="O56" s="28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.75" customHeight="1">
      <x:c r="A57" s="25">
        <x:f t="shared" si="1"/>
      </x:c>
      <x:c r="B57" s="26"/>
      <x:c r="C57" s="26"/>
      <x:c r="D57" s="26"/>
      <x:c r="E57" s="25"/>
      <x:c r="F57" s="25"/>
      <x:c r="G57" s="25"/>
      <x:c r="H57" s="28"/>
      <x:c r="I57" s="28"/>
      <x:c r="J57" s="29"/>
      <x:c r="K57" s="25"/>
      <x:c r="L57" s="26"/>
      <x:c r="M57" s="26"/>
      <x:c r="N57" s="26"/>
      <x:c r="O57" s="28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.75" customHeight="1">
      <x:c r="A58" s="25">
        <x:f t="shared" si="1"/>
      </x:c>
      <x:c r="B58" s="26"/>
      <x:c r="C58" s="26"/>
      <x:c r="D58" s="26"/>
      <x:c r="E58" s="25"/>
      <x:c r="F58" s="25"/>
      <x:c r="G58" s="25"/>
      <x:c r="H58" s="28"/>
      <x:c r="I58" s="28"/>
      <x:c r="J58" s="29"/>
      <x:c r="K58" s="25"/>
      <x:c r="L58" s="26"/>
      <x:c r="M58" s="26"/>
      <x:c r="N58" s="26"/>
      <x:c r="O58" s="28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.75" customHeight="1">
      <x:c r="A59" s="25">
        <x:f t="shared" si="1"/>
      </x:c>
      <x:c r="B59" s="26"/>
      <x:c r="C59" s="26"/>
      <x:c r="D59" s="26"/>
      <x:c r="E59" s="25"/>
      <x:c r="F59" s="25"/>
      <x:c r="G59" s="25"/>
      <x:c r="H59" s="28"/>
      <x:c r="I59" s="28"/>
      <x:c r="J59" s="29"/>
      <x:c r="K59" s="25"/>
      <x:c r="L59" s="26"/>
      <x:c r="M59" s="26"/>
      <x:c r="N59" s="26"/>
      <x:c r="O59" s="28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.75" customHeight="1">
      <x:c r="A60" s="25">
        <x:f t="shared" si="1"/>
      </x:c>
      <x:c r="B60" s="26"/>
      <x:c r="C60" s="26"/>
      <x:c r="D60" s="26"/>
      <x:c r="E60" s="25"/>
      <x:c r="F60" s="25"/>
      <x:c r="G60" s="25"/>
      <x:c r="H60" s="28"/>
      <x:c r="I60" s="28"/>
      <x:c r="J60" s="29"/>
      <x:c r="K60" s="25"/>
      <x:c r="L60" s="26"/>
      <x:c r="M60" s="26"/>
      <x:c r="N60" s="26"/>
      <x:c r="O60" s="28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.75" customHeight="1">
      <x:c r="A61" s="25">
        <x:f t="shared" si="1"/>
      </x:c>
      <x:c r="B61" s="26"/>
      <x:c r="C61" s="26"/>
      <x:c r="D61" s="26"/>
      <x:c r="E61" s="25"/>
      <x:c r="F61" s="25"/>
      <x:c r="G61" s="25"/>
      <x:c r="H61" s="28"/>
      <x:c r="I61" s="28"/>
      <x:c r="J61" s="29"/>
      <x:c r="K61" s="25"/>
      <x:c r="L61" s="26"/>
      <x:c r="M61" s="26"/>
      <x:c r="N61" s="26"/>
      <x:c r="O61" s="28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.75" customHeight="1">
      <x:c r="A62" s="25">
        <x:f t="shared" si="1"/>
      </x:c>
      <x:c r="B62" s="26"/>
      <x:c r="C62" s="26"/>
      <x:c r="D62" s="26"/>
      <x:c r="E62" s="25"/>
      <x:c r="F62" s="25"/>
      <x:c r="G62" s="25"/>
      <x:c r="H62" s="28"/>
      <x:c r="I62" s="28"/>
      <x:c r="J62" s="29"/>
      <x:c r="K62" s="25"/>
      <x:c r="L62" s="26"/>
      <x:c r="M62" s="26"/>
      <x:c r="N62" s="26"/>
      <x:c r="O62" s="28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.75" customHeight="1">
      <x:c r="A63" s="25">
        <x:f t="shared" si="1"/>
      </x:c>
      <x:c r="B63" s="26"/>
      <x:c r="C63" s="26"/>
      <x:c r="D63" s="26"/>
      <x:c r="E63" s="25"/>
      <x:c r="F63" s="25"/>
      <x:c r="G63" s="25"/>
      <x:c r="H63" s="28"/>
      <x:c r="I63" s="28"/>
      <x:c r="J63" s="29"/>
      <x:c r="K63" s="25"/>
      <x:c r="L63" s="26"/>
      <x:c r="M63" s="26"/>
      <x:c r="N63" s="26"/>
      <x:c r="O63" s="28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.75" customHeight="1">
      <x:c r="A64" s="25">
        <x:f t="shared" si="1"/>
      </x:c>
      <x:c r="B64" s="26"/>
      <x:c r="C64" s="26"/>
      <x:c r="D64" s="26"/>
      <x:c r="E64" s="25"/>
      <x:c r="F64" s="25"/>
      <x:c r="G64" s="25"/>
      <x:c r="H64" s="28"/>
      <x:c r="I64" s="28"/>
      <x:c r="J64" s="29"/>
      <x:c r="K64" s="25"/>
      <x:c r="L64" s="26"/>
      <x:c r="M64" s="26"/>
      <x:c r="N64" s="26"/>
      <x:c r="O64" s="28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.75" customHeight="1">
      <x:c r="A65" s="25">
        <x:f t="shared" si="1"/>
      </x:c>
      <x:c r="B65" s="26"/>
      <x:c r="C65" s="26"/>
      <x:c r="D65" s="26"/>
      <x:c r="E65" s="25"/>
      <x:c r="F65" s="25"/>
      <x:c r="G65" s="25"/>
      <x:c r="H65" s="28"/>
      <x:c r="I65" s="28"/>
      <x:c r="J65" s="29"/>
      <x:c r="K65" s="25"/>
      <x:c r="L65" s="26"/>
      <x:c r="M65" s="26"/>
      <x:c r="N65" s="26"/>
      <x:c r="O65" s="28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.75" customHeight="1">
      <x:c r="A66" s="25">
        <x:f t="shared" si="1"/>
      </x:c>
      <x:c r="B66" s="26"/>
      <x:c r="C66" s="26"/>
      <x:c r="D66" s="26"/>
      <x:c r="E66" s="25"/>
      <x:c r="F66" s="25"/>
      <x:c r="G66" s="25"/>
      <x:c r="H66" s="28"/>
      <x:c r="I66" s="28"/>
      <x:c r="J66" s="29"/>
      <x:c r="K66" s="25"/>
      <x:c r="L66" s="26"/>
      <x:c r="M66" s="26"/>
      <x:c r="N66" s="26"/>
      <x:c r="O66" s="28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.75" customHeight="1">
      <x:c r="A67" s="25">
        <x:f t="shared" si="1"/>
      </x:c>
      <x:c r="B67" s="26"/>
      <x:c r="C67" s="26"/>
      <x:c r="D67" s="26"/>
      <x:c r="E67" s="25"/>
      <x:c r="F67" s="25"/>
      <x:c r="G67" s="25"/>
      <x:c r="H67" s="28"/>
      <x:c r="I67" s="28"/>
      <x:c r="J67" s="29"/>
      <x:c r="K67" s="25"/>
      <x:c r="L67" s="26"/>
      <x:c r="M67" s="26"/>
      <x:c r="N67" s="26"/>
      <x:c r="O67" s="28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.75" customHeight="1">
      <x:c r="A68" s="25">
        <x:f t="shared" si="1"/>
      </x:c>
      <x:c r="B68" s="26"/>
      <x:c r="C68" s="26"/>
      <x:c r="D68" s="26"/>
      <x:c r="E68" s="25"/>
      <x:c r="F68" s="25"/>
      <x:c r="G68" s="25"/>
      <x:c r="H68" s="28"/>
      <x:c r="I68" s="28"/>
      <x:c r="J68" s="29"/>
      <x:c r="K68" s="25"/>
      <x:c r="L68" s="26"/>
      <x:c r="M68" s="26"/>
      <x:c r="N68" s="26"/>
      <x:c r="O68" s="28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.75" customHeight="1">
      <x:c r="A69" s="25">
        <x:f t="shared" si="1"/>
      </x:c>
      <x:c r="B69" s="26"/>
      <x:c r="C69" s="26"/>
      <x:c r="D69" s="26"/>
      <x:c r="E69" s="25"/>
      <x:c r="F69" s="25"/>
      <x:c r="G69" s="25"/>
      <x:c r="H69" s="28"/>
      <x:c r="I69" s="28"/>
      <x:c r="J69" s="29"/>
      <x:c r="K69" s="25"/>
      <x:c r="L69" s="26"/>
      <x:c r="M69" s="26"/>
      <x:c r="N69" s="26"/>
      <x:c r="O69" s="28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.75" customHeight="1">
      <x:c r="A70" s="25">
        <x:f t="shared" si="1"/>
      </x:c>
      <x:c r="B70" s="26"/>
      <x:c r="C70" s="26"/>
      <x:c r="D70" s="26"/>
      <x:c r="E70" s="25"/>
      <x:c r="F70" s="25"/>
      <x:c r="G70" s="25"/>
      <x:c r="H70" s="28"/>
      <x:c r="I70" s="28"/>
      <x:c r="J70" s="29"/>
      <x:c r="K70" s="25"/>
      <x:c r="L70" s="26"/>
      <x:c r="M70" s="26"/>
      <x:c r="N70" s="26"/>
      <x:c r="O70" s="28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.75" customHeight="1">
      <x:c r="A71" s="25">
        <x:f t="shared" si="1"/>
      </x:c>
      <x:c r="B71" s="26"/>
      <x:c r="C71" s="26"/>
      <x:c r="D71" s="26"/>
      <x:c r="E71" s="25"/>
      <x:c r="F71" s="25"/>
      <x:c r="G71" s="25"/>
      <x:c r="H71" s="28"/>
      <x:c r="I71" s="28"/>
      <x:c r="J71" s="29"/>
      <x:c r="K71" s="25"/>
      <x:c r="L71" s="26"/>
      <x:c r="M71" s="26"/>
      <x:c r="N71" s="26"/>
      <x:c r="O71" s="28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.75" customHeight="1">
      <x:c r="A72" s="25">
        <x:f t="shared" si="1"/>
      </x:c>
      <x:c r="B72" s="26"/>
      <x:c r="C72" s="26"/>
      <x:c r="D72" s="26"/>
      <x:c r="E72" s="25"/>
      <x:c r="F72" s="25"/>
      <x:c r="G72" s="25"/>
      <x:c r="H72" s="28"/>
      <x:c r="I72" s="28"/>
      <x:c r="J72" s="29"/>
      <x:c r="K72" s="25"/>
      <x:c r="L72" s="26"/>
      <x:c r="M72" s="26"/>
      <x:c r="N72" s="26"/>
      <x:c r="O72" s="28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.75" customHeight="1">
      <x:c r="A73" s="25">
        <x:f t="shared" si="1"/>
      </x:c>
      <x:c r="B73" s="26"/>
      <x:c r="C73" s="26"/>
      <x:c r="D73" s="26"/>
      <x:c r="E73" s="25"/>
      <x:c r="F73" s="25"/>
      <x:c r="G73" s="25"/>
      <x:c r="H73" s="28"/>
      <x:c r="I73" s="28"/>
      <x:c r="J73" s="29"/>
      <x:c r="K73" s="25"/>
      <x:c r="L73" s="26"/>
      <x:c r="M73" s="26"/>
      <x:c r="N73" s="26"/>
      <x:c r="O73" s="28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.75" customHeight="1">
      <x:c r="A74" s="25">
        <x:f t="shared" si="1"/>
      </x:c>
      <x:c r="B74" s="26"/>
      <x:c r="C74" s="26"/>
      <x:c r="D74" s="26"/>
      <x:c r="E74" s="25"/>
      <x:c r="F74" s="25"/>
      <x:c r="G74" s="25"/>
      <x:c r="H74" s="28"/>
      <x:c r="I74" s="28"/>
      <x:c r="J74" s="29"/>
      <x:c r="K74" s="25"/>
      <x:c r="L74" s="26"/>
      <x:c r="M74" s="26"/>
      <x:c r="N74" s="26"/>
      <x:c r="O74" s="28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.75" customHeight="1">
      <x:c r="A75" s="25">
        <x:f t="shared" si="1"/>
      </x:c>
      <x:c r="B75" s="26"/>
      <x:c r="C75" s="26"/>
      <x:c r="D75" s="26"/>
      <x:c r="E75" s="25"/>
      <x:c r="F75" s="25"/>
      <x:c r="G75" s="25"/>
      <x:c r="H75" s="28"/>
      <x:c r="I75" s="28"/>
      <x:c r="J75" s="29"/>
      <x:c r="K75" s="25"/>
      <x:c r="L75" s="26"/>
      <x:c r="M75" s="26"/>
      <x:c r="N75" s="26"/>
      <x:c r="O75" s="28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.75" customHeight="1">
      <x:c r="A76" s="25">
        <x:f t="shared" si="1"/>
      </x:c>
      <x:c r="B76" s="26"/>
      <x:c r="C76" s="26"/>
      <x:c r="D76" s="26"/>
      <x:c r="E76" s="25"/>
      <x:c r="F76" s="25"/>
      <x:c r="G76" s="25"/>
      <x:c r="H76" s="28"/>
      <x:c r="I76" s="28"/>
      <x:c r="J76" s="29"/>
      <x:c r="K76" s="25"/>
      <x:c r="L76" s="26"/>
      <x:c r="M76" s="26"/>
      <x:c r="N76" s="26"/>
      <x:c r="O76" s="28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.75" customHeight="1">
      <x:c r="A77" s="25">
        <x:f t="shared" si="1"/>
      </x:c>
      <x:c r="B77" s="26"/>
      <x:c r="C77" s="26"/>
      <x:c r="D77" s="26"/>
      <x:c r="E77" s="25"/>
      <x:c r="F77" s="25"/>
      <x:c r="G77" s="25"/>
      <x:c r="H77" s="28"/>
      <x:c r="I77" s="28"/>
      <x:c r="J77" s="29"/>
      <x:c r="K77" s="25"/>
      <x:c r="L77" s="26"/>
      <x:c r="M77" s="26"/>
      <x:c r="N77" s="26"/>
      <x:c r="O77" s="28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.75" customHeight="1">
      <x:c r="A78" s="25">
        <x:f t="shared" si="1"/>
      </x:c>
      <x:c r="B78" s="26"/>
      <x:c r="C78" s="26"/>
      <x:c r="D78" s="26"/>
      <x:c r="E78" s="25"/>
      <x:c r="F78" s="25"/>
      <x:c r="G78" s="25"/>
      <x:c r="H78" s="28"/>
      <x:c r="I78" s="28"/>
      <x:c r="J78" s="29"/>
      <x:c r="K78" s="25"/>
      <x:c r="L78" s="26"/>
      <x:c r="M78" s="26"/>
      <x:c r="N78" s="26"/>
      <x:c r="O78" s="28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.75" customHeight="1">
      <x:c r="A79" s="25">
        <x:f t="shared" si="1"/>
      </x:c>
      <x:c r="B79" s="26"/>
      <x:c r="C79" s="26"/>
      <x:c r="D79" s="26"/>
      <x:c r="E79" s="25"/>
      <x:c r="F79" s="25"/>
      <x:c r="G79" s="25"/>
      <x:c r="H79" s="28"/>
      <x:c r="I79" s="28"/>
      <x:c r="J79" s="29"/>
      <x:c r="K79" s="25"/>
      <x:c r="L79" s="26"/>
      <x:c r="M79" s="26"/>
      <x:c r="N79" s="26"/>
      <x:c r="O79" s="28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.75" customHeight="1">
      <x:c r="A80" s="25">
        <x:f t="shared" si="1"/>
      </x:c>
      <x:c r="B80" s="26"/>
      <x:c r="C80" s="26"/>
      <x:c r="D80" s="26"/>
      <x:c r="E80" s="25"/>
      <x:c r="F80" s="25"/>
      <x:c r="G80" s="25"/>
      <x:c r="H80" s="28"/>
      <x:c r="I80" s="28"/>
      <x:c r="J80" s="29"/>
      <x:c r="K80" s="25"/>
      <x:c r="L80" s="26"/>
      <x:c r="M80" s="26"/>
      <x:c r="N80" s="26"/>
      <x:c r="O80" s="28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.75" customHeight="1">
      <x:c r="A81" s="25">
        <x:f t="shared" si="1"/>
      </x:c>
      <x:c r="B81" s="26"/>
      <x:c r="C81" s="26"/>
      <x:c r="D81" s="26"/>
      <x:c r="E81" s="25"/>
      <x:c r="F81" s="25"/>
      <x:c r="G81" s="25"/>
      <x:c r="H81" s="28"/>
      <x:c r="I81" s="28"/>
      <x:c r="J81" s="29"/>
      <x:c r="K81" s="25"/>
      <x:c r="L81" s="26"/>
      <x:c r="M81" s="26"/>
      <x:c r="N81" s="26"/>
      <x:c r="O81" s="28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.75" customHeight="1">
      <x:c r="A82" s="25">
        <x:f t="shared" si="1"/>
      </x:c>
      <x:c r="B82" s="26"/>
      <x:c r="C82" s="26"/>
      <x:c r="D82" s="26"/>
      <x:c r="E82" s="25"/>
      <x:c r="F82" s="25"/>
      <x:c r="G82" s="25"/>
      <x:c r="H82" s="28"/>
      <x:c r="I82" s="28"/>
      <x:c r="J82" s="29"/>
      <x:c r="K82" s="25"/>
      <x:c r="L82" s="26"/>
      <x:c r="M82" s="26"/>
      <x:c r="N82" s="26"/>
      <x:c r="O82" s="28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.75" customHeight="1">
      <x:c r="A83" s="25">
        <x:f t="shared" si="1"/>
      </x:c>
      <x:c r="B83" s="26"/>
      <x:c r="C83" s="26"/>
      <x:c r="D83" s="26"/>
      <x:c r="E83" s="25"/>
      <x:c r="F83" s="25"/>
      <x:c r="G83" s="25"/>
      <x:c r="H83" s="28"/>
      <x:c r="I83" s="28"/>
      <x:c r="J83" s="29"/>
      <x:c r="K83" s="25"/>
      <x:c r="L83" s="26"/>
      <x:c r="M83" s="26"/>
      <x:c r="N83" s="26"/>
      <x:c r="O83" s="28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.75" customHeight="1">
      <x:c r="A84" s="25">
        <x:f t="shared" si="1"/>
      </x:c>
      <x:c r="B84" s="26"/>
      <x:c r="C84" s="26"/>
      <x:c r="D84" s="26"/>
      <x:c r="E84" s="25"/>
      <x:c r="F84" s="25"/>
      <x:c r="G84" s="25"/>
      <x:c r="H84" s="28"/>
      <x:c r="I84" s="28"/>
      <x:c r="J84" s="29"/>
      <x:c r="K84" s="25"/>
      <x:c r="L84" s="26"/>
      <x:c r="M84" s="26"/>
      <x:c r="N84" s="26"/>
      <x:c r="O84" s="28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.75" customHeight="1">
      <x:c r="A85" s="25">
        <x:f t="shared" si="1"/>
      </x:c>
      <x:c r="B85" s="26"/>
      <x:c r="C85" s="26"/>
      <x:c r="D85" s="26"/>
      <x:c r="E85" s="25"/>
      <x:c r="F85" s="25"/>
      <x:c r="G85" s="25"/>
      <x:c r="H85" s="28"/>
      <x:c r="I85" s="28"/>
      <x:c r="J85" s="29"/>
      <x:c r="K85" s="25"/>
      <x:c r="L85" s="26"/>
      <x:c r="M85" s="26"/>
      <x:c r="N85" s="26"/>
      <x:c r="O85" s="28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.75" customHeight="1">
      <x:c r="A86" s="25">
        <x:f t="shared" si="1"/>
      </x:c>
      <x:c r="B86" s="26"/>
      <x:c r="C86" s="26"/>
      <x:c r="D86" s="26"/>
      <x:c r="E86" s="25"/>
      <x:c r="F86" s="25"/>
      <x:c r="G86" s="25"/>
      <x:c r="H86" s="28"/>
      <x:c r="I86" s="28"/>
      <x:c r="J86" s="29"/>
      <x:c r="K86" s="25"/>
      <x:c r="L86" s="26"/>
      <x:c r="M86" s="26"/>
      <x:c r="N86" s="26"/>
      <x:c r="O86" s="28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.75" customHeight="1">
      <x:c r="A87" s="25">
        <x:f t="shared" si="1"/>
      </x:c>
      <x:c r="B87" s="26"/>
      <x:c r="C87" s="26"/>
      <x:c r="D87" s="26"/>
      <x:c r="E87" s="25"/>
      <x:c r="F87" s="25"/>
      <x:c r="G87" s="25"/>
      <x:c r="H87" s="28"/>
      <x:c r="I87" s="28"/>
      <x:c r="J87" s="29"/>
      <x:c r="K87" s="25"/>
      <x:c r="L87" s="26"/>
      <x:c r="M87" s="26"/>
      <x:c r="N87" s="26"/>
      <x:c r="O87" s="28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.75" customHeight="1">
      <x:c r="A88" s="25">
        <x:f t="shared" si="1"/>
      </x:c>
      <x:c r="B88" s="26"/>
      <x:c r="C88" s="26"/>
      <x:c r="D88" s="26"/>
      <x:c r="E88" s="25"/>
      <x:c r="F88" s="25"/>
      <x:c r="G88" s="25"/>
      <x:c r="H88" s="28"/>
      <x:c r="I88" s="28"/>
      <x:c r="J88" s="29"/>
      <x:c r="K88" s="25"/>
      <x:c r="L88" s="26"/>
      <x:c r="M88" s="26"/>
      <x:c r="N88" s="26"/>
      <x:c r="O88" s="28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.75" customHeight="1">
      <x:c r="A89" s="25">
        <x:f t="shared" si="1"/>
      </x:c>
      <x:c r="B89" s="26"/>
      <x:c r="C89" s="26"/>
      <x:c r="D89" s="26"/>
      <x:c r="E89" s="25"/>
      <x:c r="F89" s="25"/>
      <x:c r="G89" s="25"/>
      <x:c r="H89" s="28"/>
      <x:c r="I89" s="28"/>
      <x:c r="J89" s="29"/>
      <x:c r="K89" s="25"/>
      <x:c r="L89" s="26"/>
      <x:c r="M89" s="26"/>
      <x:c r="N89" s="26"/>
      <x:c r="O89" s="28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.75" customHeight="1">
      <x:c r="A90" s="25">
        <x:f t="shared" si="1"/>
      </x:c>
      <x:c r="B90" s="26"/>
      <x:c r="C90" s="26"/>
      <x:c r="D90" s="26"/>
      <x:c r="E90" s="25"/>
      <x:c r="F90" s="25"/>
      <x:c r="G90" s="25"/>
      <x:c r="H90" s="28"/>
      <x:c r="I90" s="28"/>
      <x:c r="J90" s="29"/>
      <x:c r="K90" s="25"/>
      <x:c r="L90" s="26"/>
      <x:c r="M90" s="26"/>
      <x:c r="N90" s="26"/>
      <x:c r="O90" s="28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.75" customHeight="1">
      <x:c r="A91" s="25">
        <x:f t="shared" si="1"/>
      </x:c>
      <x:c r="B91" s="26"/>
      <x:c r="C91" s="26"/>
      <x:c r="D91" s="26"/>
      <x:c r="E91" s="25"/>
      <x:c r="F91" s="25"/>
      <x:c r="G91" s="25"/>
      <x:c r="H91" s="28"/>
      <x:c r="I91" s="28"/>
      <x:c r="J91" s="29"/>
      <x:c r="K91" s="25"/>
      <x:c r="L91" s="26"/>
      <x:c r="M91" s="26"/>
      <x:c r="N91" s="26"/>
      <x:c r="O91" s="28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.75" customHeight="1">
      <x:c r="A92" s="25">
        <x:f t="shared" si="1"/>
      </x:c>
      <x:c r="B92" s="26"/>
      <x:c r="C92" s="26"/>
      <x:c r="D92" s="26"/>
      <x:c r="E92" s="25"/>
      <x:c r="F92" s="25"/>
      <x:c r="G92" s="25"/>
      <x:c r="H92" s="28"/>
      <x:c r="I92" s="28"/>
      <x:c r="J92" s="29"/>
      <x:c r="K92" s="25"/>
      <x:c r="L92" s="26"/>
      <x:c r="M92" s="26"/>
      <x:c r="N92" s="26"/>
      <x:c r="O92" s="28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.75" customHeight="1">
      <x:c r="A93" s="25">
        <x:f t="shared" si="1"/>
      </x:c>
      <x:c r="B93" s="26"/>
      <x:c r="C93" s="26"/>
      <x:c r="D93" s="26"/>
      <x:c r="E93" s="25"/>
      <x:c r="F93" s="25"/>
      <x:c r="G93" s="25"/>
      <x:c r="H93" s="28"/>
      <x:c r="I93" s="28"/>
      <x:c r="J93" s="29"/>
      <x:c r="K93" s="25"/>
      <x:c r="L93" s="26"/>
      <x:c r="M93" s="26"/>
      <x:c r="N93" s="26"/>
      <x:c r="O93" s="28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.75" customHeight="1">
      <x:c r="A94" s="25">
        <x:f t="shared" si="1"/>
      </x:c>
      <x:c r="B94" s="26"/>
      <x:c r="C94" s="26"/>
      <x:c r="D94" s="26"/>
      <x:c r="E94" s="25"/>
      <x:c r="F94" s="25"/>
      <x:c r="G94" s="25"/>
      <x:c r="H94" s="28"/>
      <x:c r="I94" s="28"/>
      <x:c r="J94" s="29"/>
      <x:c r="K94" s="25"/>
      <x:c r="L94" s="26"/>
      <x:c r="M94" s="26"/>
      <x:c r="N94" s="26"/>
      <x:c r="O94" s="28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.75" customHeight="1">
      <x:c r="A95" s="25">
        <x:f t="shared" si="1"/>
      </x:c>
      <x:c r="B95" s="26"/>
      <x:c r="C95" s="26"/>
      <x:c r="D95" s="26"/>
      <x:c r="E95" s="25"/>
      <x:c r="F95" s="25"/>
      <x:c r="G95" s="25"/>
      <x:c r="H95" s="28"/>
      <x:c r="I95" s="28"/>
      <x:c r="J95" s="29"/>
      <x:c r="K95" s="25"/>
      <x:c r="L95" s="26"/>
      <x:c r="M95" s="26"/>
      <x:c r="N95" s="26"/>
      <x:c r="O95" s="28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.75" customHeight="1">
      <x:c r="A96" s="25">
        <x:f t="shared" si="1"/>
      </x:c>
      <x:c r="B96" s="26"/>
      <x:c r="C96" s="26"/>
      <x:c r="D96" s="26"/>
      <x:c r="E96" s="25"/>
      <x:c r="F96" s="25"/>
      <x:c r="G96" s="25"/>
      <x:c r="H96" s="28"/>
      <x:c r="I96" s="28"/>
      <x:c r="J96" s="29"/>
      <x:c r="K96" s="25"/>
      <x:c r="L96" s="26"/>
      <x:c r="M96" s="26"/>
      <x:c r="N96" s="26"/>
      <x:c r="O96" s="28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.75" customHeight="1">
      <x:c r="A97" s="25">
        <x:f t="shared" si="1"/>
      </x:c>
      <x:c r="B97" s="26"/>
      <x:c r="C97" s="26"/>
      <x:c r="D97" s="26"/>
      <x:c r="E97" s="25"/>
      <x:c r="F97" s="25"/>
      <x:c r="G97" s="25"/>
      <x:c r="H97" s="28"/>
      <x:c r="I97" s="28"/>
      <x:c r="J97" s="29"/>
      <x:c r="K97" s="25"/>
      <x:c r="L97" s="26"/>
      <x:c r="M97" s="26"/>
      <x:c r="N97" s="26"/>
      <x:c r="O97" s="28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.75" customHeight="1">
      <x:c r="A98" s="25">
        <x:f t="shared" si="1"/>
      </x:c>
      <x:c r="B98" s="26"/>
      <x:c r="C98" s="26"/>
      <x:c r="D98" s="26"/>
      <x:c r="E98" s="25"/>
      <x:c r="F98" s="25"/>
      <x:c r="G98" s="25"/>
      <x:c r="H98" s="28"/>
      <x:c r="I98" s="28"/>
      <x:c r="J98" s="29"/>
      <x:c r="K98" s="25"/>
      <x:c r="L98" s="26"/>
      <x:c r="M98" s="26"/>
      <x:c r="N98" s="26"/>
      <x:c r="O98" s="28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.75" customHeight="1">
      <x:c r="A99" s="25">
        <x:f t="shared" si="1"/>
      </x:c>
      <x:c r="B99" s="26"/>
      <x:c r="C99" s="26"/>
      <x:c r="D99" s="26"/>
      <x:c r="E99" s="25"/>
      <x:c r="F99" s="25"/>
      <x:c r="G99" s="25"/>
      <x:c r="H99" s="28"/>
      <x:c r="I99" s="28"/>
      <x:c r="J99" s="29"/>
      <x:c r="K99" s="25"/>
      <x:c r="L99" s="26"/>
      <x:c r="M99" s="26"/>
      <x:c r="N99" s="26"/>
      <x:c r="O99" s="28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.75" customHeight="1">
      <x:c r="A100" s="25">
        <x:f t="shared" si="1"/>
      </x:c>
      <x:c r="B100" s="26"/>
      <x:c r="C100" s="26"/>
      <x:c r="D100" s="26"/>
      <x:c r="E100" s="25"/>
      <x:c r="F100" s="25"/>
      <x:c r="G100" s="25"/>
      <x:c r="H100" s="28"/>
      <x:c r="I100" s="28"/>
      <x:c r="J100" s="29"/>
      <x:c r="K100" s="25"/>
      <x:c r="L100" s="26"/>
      <x:c r="M100" s="26"/>
      <x:c r="N100" s="26"/>
      <x:c r="O100" s="28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.75" customHeight="1">
      <x:c r="A101" s="25">
        <x:f t="shared" si="1"/>
      </x:c>
      <x:c r="B101" s="26"/>
      <x:c r="C101" s="26"/>
      <x:c r="D101" s="26"/>
      <x:c r="E101" s="25"/>
      <x:c r="F101" s="25"/>
      <x:c r="G101" s="25"/>
      <x:c r="H101" s="28"/>
      <x:c r="I101" s="28"/>
      <x:c r="J101" s="29"/>
      <x:c r="K101" s="25"/>
      <x:c r="L101" s="26"/>
      <x:c r="M101" s="26"/>
      <x:c r="N101" s="26"/>
      <x:c r="O101" s="28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.75" customHeight="1">
      <x:c r="A102" s="25">
        <x:f t="shared" si="1"/>
      </x:c>
      <x:c r="B102" s="26"/>
      <x:c r="C102" s="26"/>
      <x:c r="D102" s="26"/>
      <x:c r="E102" s="25"/>
      <x:c r="F102" s="25"/>
      <x:c r="G102" s="25"/>
      <x:c r="H102" s="28"/>
      <x:c r="I102" s="28"/>
      <x:c r="J102" s="29"/>
      <x:c r="K102" s="25"/>
      <x:c r="L102" s="26"/>
      <x:c r="M102" s="26"/>
      <x:c r="N102" s="26"/>
      <x:c r="O102" s="28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.75" customHeight="1">
      <x:c r="A103" s="25">
        <x:f t="shared" si="1"/>
      </x:c>
      <x:c r="B103" s="26"/>
      <x:c r="C103" s="26"/>
      <x:c r="D103" s="26"/>
      <x:c r="E103" s="25"/>
      <x:c r="F103" s="25"/>
      <x:c r="G103" s="25"/>
      <x:c r="H103" s="28"/>
      <x:c r="I103" s="28"/>
      <x:c r="J103" s="29"/>
      <x:c r="K103" s="25"/>
      <x:c r="L103" s="26"/>
      <x:c r="M103" s="26"/>
      <x:c r="N103" s="26"/>
      <x:c r="O103" s="28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.75" customHeight="1">
      <x:c r="A104" s="25">
        <x:f t="shared" si="1"/>
      </x:c>
      <x:c r="B104" s="26"/>
      <x:c r="C104" s="26"/>
      <x:c r="D104" s="26"/>
      <x:c r="E104" s="25"/>
      <x:c r="F104" s="25"/>
      <x:c r="G104" s="25"/>
      <x:c r="H104" s="28"/>
      <x:c r="I104" s="28"/>
      <x:c r="J104" s="29"/>
      <x:c r="K104" s="25"/>
      <x:c r="L104" s="26"/>
      <x:c r="M104" s="26"/>
      <x:c r="N104" s="26"/>
      <x:c r="O104" s="28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.75" customHeight="1">
      <x:c r="A105" s="25">
        <x:f t="shared" si="1"/>
      </x:c>
      <x:c r="B105" s="26"/>
      <x:c r="C105" s="26"/>
      <x:c r="D105" s="26"/>
      <x:c r="E105" s="25"/>
      <x:c r="F105" s="25"/>
      <x:c r="G105" s="25"/>
      <x:c r="H105" s="28"/>
      <x:c r="I105" s="28"/>
      <x:c r="J105" s="29"/>
      <x:c r="K105" s="25"/>
      <x:c r="L105" s="26"/>
      <x:c r="M105" s="26"/>
      <x:c r="N105" s="26"/>
      <x:c r="O105" s="28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.75" customHeight="1">
      <x:c r="A106" s="25">
        <x:f t="shared" si="1"/>
      </x:c>
      <x:c r="B106" s="26"/>
      <x:c r="C106" s="26"/>
      <x:c r="D106" s="26"/>
      <x:c r="E106" s="25"/>
      <x:c r="F106" s="25"/>
      <x:c r="G106" s="25"/>
      <x:c r="H106" s="28"/>
      <x:c r="I106" s="28"/>
      <x:c r="J106" s="29"/>
      <x:c r="K106" s="25"/>
      <x:c r="L106" s="26"/>
      <x:c r="M106" s="26"/>
      <x:c r="N106" s="26"/>
      <x:c r="O106" s="28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.75" customHeight="1">
      <x:c r="A107" s="25">
        <x:f t="shared" si="1"/>
      </x:c>
      <x:c r="B107" s="26"/>
      <x:c r="C107" s="26"/>
      <x:c r="D107" s="26"/>
      <x:c r="E107" s="25"/>
      <x:c r="F107" s="25"/>
      <x:c r="G107" s="25"/>
      <x:c r="H107" s="28"/>
      <x:c r="I107" s="28"/>
      <x:c r="J107" s="29"/>
      <x:c r="K107" s="25"/>
      <x:c r="L107" s="26"/>
      <x:c r="M107" s="26"/>
      <x:c r="N107" s="26"/>
      <x:c r="O107" s="28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.75" customHeight="1">
      <x:c r="A108" s="25">
        <x:f t="shared" si="1"/>
      </x:c>
      <x:c r="B108" s="26"/>
      <x:c r="C108" s="26"/>
      <x:c r="D108" s="26"/>
      <x:c r="E108" s="25"/>
      <x:c r="F108" s="25"/>
      <x:c r="G108" s="25"/>
      <x:c r="H108" s="28"/>
      <x:c r="I108" s="28"/>
      <x:c r="J108" s="29"/>
      <x:c r="K108" s="25"/>
      <x:c r="L108" s="26"/>
      <x:c r="M108" s="26"/>
      <x:c r="N108" s="26"/>
      <x:c r="O108" s="28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.75" customHeight="1">
      <x:c r="A109" s="25">
        <x:f t="shared" si="1"/>
      </x:c>
      <x:c r="B109" s="26"/>
      <x:c r="C109" s="26"/>
      <x:c r="D109" s="26"/>
      <x:c r="E109" s="25"/>
      <x:c r="F109" s="25"/>
      <x:c r="G109" s="25"/>
      <x:c r="H109" s="28"/>
      <x:c r="I109" s="28"/>
      <x:c r="J109" s="29"/>
      <x:c r="K109" s="25"/>
      <x:c r="L109" s="26"/>
      <x:c r="M109" s="26"/>
      <x:c r="N109" s="26"/>
      <x:c r="O109" s="28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.75" customHeight="1">
      <x:c r="A110" s="25">
        <x:f t="shared" si="1"/>
      </x:c>
      <x:c r="B110" s="26"/>
      <x:c r="C110" s="26"/>
      <x:c r="D110" s="26"/>
      <x:c r="E110" s="25"/>
      <x:c r="F110" s="25"/>
      <x:c r="G110" s="25"/>
      <x:c r="H110" s="28"/>
      <x:c r="I110" s="28"/>
      <x:c r="J110" s="29"/>
      <x:c r="K110" s="25"/>
      <x:c r="L110" s="26"/>
      <x:c r="M110" s="26"/>
      <x:c r="N110" s="26"/>
      <x:c r="O110" s="28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.75" customHeight="1">
      <x:c r="A111" s="25">
        <x:f t="shared" si="1"/>
      </x:c>
      <x:c r="B111" s="26"/>
      <x:c r="C111" s="26"/>
      <x:c r="D111" s="26"/>
      <x:c r="E111" s="25"/>
      <x:c r="F111" s="25"/>
      <x:c r="G111" s="25"/>
      <x:c r="H111" s="28"/>
      <x:c r="I111" s="28"/>
      <x:c r="J111" s="29"/>
      <x:c r="K111" s="25"/>
      <x:c r="L111" s="26"/>
      <x:c r="M111" s="26"/>
      <x:c r="N111" s="26"/>
      <x:c r="O111" s="28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.75" customHeight="1">
      <x:c r="A112" s="25">
        <x:f t="shared" si="1"/>
      </x:c>
      <x:c r="B112" s="26"/>
      <x:c r="C112" s="26"/>
      <x:c r="D112" s="26"/>
      <x:c r="E112" s="25"/>
      <x:c r="F112" s="25"/>
      <x:c r="G112" s="25"/>
      <x:c r="H112" s="28"/>
      <x:c r="I112" s="28"/>
      <x:c r="J112" s="29"/>
      <x:c r="K112" s="25"/>
      <x:c r="L112" s="26"/>
      <x:c r="M112" s="26"/>
      <x:c r="N112" s="26"/>
      <x:c r="O112" s="28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.75" customHeight="1">
      <x:c r="A113" s="25">
        <x:f t="shared" si="1"/>
      </x:c>
      <x:c r="B113" s="26"/>
      <x:c r="C113" s="26"/>
      <x:c r="D113" s="26"/>
      <x:c r="E113" s="25"/>
      <x:c r="F113" s="25"/>
      <x:c r="G113" s="25"/>
      <x:c r="H113" s="28"/>
      <x:c r="I113" s="28"/>
      <x:c r="J113" s="29"/>
      <x:c r="K113" s="25"/>
      <x:c r="L113" s="26"/>
      <x:c r="M113" s="26"/>
      <x:c r="N113" s="26"/>
      <x:c r="O113" s="28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.75" customHeight="1">
      <x:c r="A114" s="25">
        <x:f t="shared" si="1"/>
      </x:c>
      <x:c r="B114" s="26"/>
      <x:c r="C114" s="26"/>
      <x:c r="D114" s="26"/>
      <x:c r="E114" s="25"/>
      <x:c r="F114" s="25"/>
      <x:c r="G114" s="25"/>
      <x:c r="H114" s="28"/>
      <x:c r="I114" s="28"/>
      <x:c r="J114" s="29"/>
      <x:c r="K114" s="25"/>
      <x:c r="L114" s="26"/>
      <x:c r="M114" s="26"/>
      <x:c r="N114" s="26"/>
      <x:c r="O114" s="28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.75" customHeight="1">
      <x:c r="A115" s="25">
        <x:f t="shared" si="1"/>
      </x:c>
      <x:c r="B115" s="26"/>
      <x:c r="C115" s="26"/>
      <x:c r="D115" s="26"/>
      <x:c r="E115" s="25"/>
      <x:c r="F115" s="25"/>
      <x:c r="G115" s="25"/>
      <x:c r="H115" s="28"/>
      <x:c r="I115" s="28"/>
      <x:c r="J115" s="29"/>
      <x:c r="K115" s="25"/>
      <x:c r="L115" s="26"/>
      <x:c r="M115" s="26"/>
      <x:c r="N115" s="26"/>
      <x:c r="O115" s="28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.75" customHeight="1">
      <x:c r="A116" s="25">
        <x:f t="shared" si="1"/>
      </x:c>
      <x:c r="B116" s="26"/>
      <x:c r="C116" s="26"/>
      <x:c r="D116" s="26"/>
      <x:c r="E116" s="25"/>
      <x:c r="F116" s="25"/>
      <x:c r="G116" s="25"/>
      <x:c r="H116" s="28"/>
      <x:c r="I116" s="28"/>
      <x:c r="J116" s="29"/>
      <x:c r="K116" s="25"/>
      <x:c r="L116" s="26"/>
      <x:c r="M116" s="26"/>
      <x:c r="N116" s="26"/>
      <x:c r="O116" s="28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.75" customHeight="1">
      <x:c r="A117" s="25">
        <x:f t="shared" si="1"/>
      </x:c>
      <x:c r="B117" s="26"/>
      <x:c r="C117" s="26"/>
      <x:c r="D117" s="26"/>
      <x:c r="E117" s="25"/>
      <x:c r="F117" s="25"/>
      <x:c r="G117" s="25"/>
      <x:c r="H117" s="28"/>
      <x:c r="I117" s="28"/>
      <x:c r="J117" s="29"/>
      <x:c r="K117" s="25"/>
      <x:c r="L117" s="26"/>
      <x:c r="M117" s="26"/>
      <x:c r="N117" s="26"/>
      <x:c r="O117" s="28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.75" customHeight="1">
      <x:c r="A118" s="25">
        <x:f t="shared" si="1"/>
      </x:c>
      <x:c r="B118" s="26"/>
      <x:c r="C118" s="26"/>
      <x:c r="D118" s="26"/>
      <x:c r="E118" s="25"/>
      <x:c r="F118" s="25"/>
      <x:c r="G118" s="25"/>
      <x:c r="H118" s="28"/>
      <x:c r="I118" s="28"/>
      <x:c r="J118" s="29"/>
      <x:c r="K118" s="25"/>
      <x:c r="L118" s="26"/>
      <x:c r="M118" s="26"/>
      <x:c r="N118" s="26"/>
      <x:c r="O118" s="28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.75" customHeight="1">
      <x:c r="A119" s="25">
        <x:f t="shared" si="1"/>
      </x:c>
      <x:c r="B119" s="26"/>
      <x:c r="C119" s="26"/>
      <x:c r="D119" s="26"/>
      <x:c r="E119" s="25"/>
      <x:c r="F119" s="25"/>
      <x:c r="G119" s="25"/>
      <x:c r="H119" s="28"/>
      <x:c r="I119" s="28"/>
      <x:c r="J119" s="29"/>
      <x:c r="K119" s="25"/>
      <x:c r="L119" s="26"/>
      <x:c r="M119" s="26"/>
      <x:c r="N119" s="26"/>
      <x:c r="O119" s="28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.75" customHeight="1">
      <x:c r="A120" s="25">
        <x:f t="shared" si="1"/>
      </x:c>
      <x:c r="B120" s="26"/>
      <x:c r="C120" s="26"/>
      <x:c r="D120" s="26"/>
      <x:c r="E120" s="25"/>
      <x:c r="F120" s="25"/>
      <x:c r="G120" s="25"/>
      <x:c r="H120" s="28"/>
      <x:c r="I120" s="28"/>
      <x:c r="J120" s="29"/>
      <x:c r="K120" s="25"/>
      <x:c r="L120" s="26"/>
      <x:c r="M120" s="26"/>
      <x:c r="N120" s="26"/>
      <x:c r="O120" s="28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.75" customHeight="1">
      <x:c r="A121" s="25">
        <x:f t="shared" si="1"/>
      </x:c>
      <x:c r="B121" s="26"/>
      <x:c r="C121" s="26"/>
      <x:c r="D121" s="26"/>
      <x:c r="E121" s="25"/>
      <x:c r="F121" s="25"/>
      <x:c r="G121" s="25"/>
      <x:c r="H121" s="28"/>
      <x:c r="I121" s="28"/>
      <x:c r="J121" s="29"/>
      <x:c r="K121" s="25"/>
      <x:c r="L121" s="26"/>
      <x:c r="M121" s="26"/>
      <x:c r="N121" s="26"/>
      <x:c r="O121" s="28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.75" customHeight="1">
      <x:c r="A122" s="25">
        <x:f t="shared" si="1"/>
      </x:c>
      <x:c r="B122" s="26"/>
      <x:c r="C122" s="26"/>
      <x:c r="D122" s="26"/>
      <x:c r="E122" s="25"/>
      <x:c r="F122" s="25"/>
      <x:c r="G122" s="25"/>
      <x:c r="H122" s="28"/>
      <x:c r="I122" s="28"/>
      <x:c r="J122" s="29"/>
      <x:c r="K122" s="25"/>
      <x:c r="L122" s="26"/>
      <x:c r="M122" s="26"/>
      <x:c r="N122" s="26"/>
      <x:c r="O122" s="28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.75" customHeight="1">
      <x:c r="A123" s="25">
        <x:f t="shared" si="1"/>
      </x:c>
      <x:c r="B123" s="26"/>
      <x:c r="C123" s="26"/>
      <x:c r="D123" s="26"/>
      <x:c r="E123" s="25"/>
      <x:c r="F123" s="25"/>
      <x:c r="G123" s="25"/>
      <x:c r="H123" s="28"/>
      <x:c r="I123" s="28"/>
      <x:c r="J123" s="29"/>
      <x:c r="K123" s="25"/>
      <x:c r="L123" s="26"/>
      <x:c r="M123" s="26"/>
      <x:c r="N123" s="26"/>
      <x:c r="O123" s="28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.75" customHeight="1">
      <x:c r="A124" s="25">
        <x:f t="shared" si="1"/>
      </x:c>
      <x:c r="B124" s="26"/>
      <x:c r="C124" s="26"/>
      <x:c r="D124" s="26"/>
      <x:c r="E124" s="25"/>
      <x:c r="F124" s="25"/>
      <x:c r="G124" s="25"/>
      <x:c r="H124" s="28"/>
      <x:c r="I124" s="28"/>
      <x:c r="J124" s="29"/>
      <x:c r="K124" s="25"/>
      <x:c r="L124" s="26"/>
      <x:c r="M124" s="26"/>
      <x:c r="N124" s="26"/>
      <x:c r="O124" s="28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.75" customHeight="1">
      <x:c r="A125" s="25">
        <x:f t="shared" si="1"/>
      </x:c>
      <x:c r="B125" s="26"/>
      <x:c r="C125" s="26"/>
      <x:c r="D125" s="26"/>
      <x:c r="E125" s="25"/>
      <x:c r="F125" s="25"/>
      <x:c r="G125" s="25"/>
      <x:c r="H125" s="28"/>
      <x:c r="I125" s="28"/>
      <x:c r="J125" s="29"/>
      <x:c r="K125" s="25"/>
      <x:c r="L125" s="26"/>
      <x:c r="M125" s="26"/>
      <x:c r="N125" s="26"/>
      <x:c r="O125" s="28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.75" customHeight="1">
      <x:c r="A126" s="25">
        <x:f t="shared" si="1"/>
      </x:c>
      <x:c r="B126" s="26"/>
      <x:c r="C126" s="26"/>
      <x:c r="D126" s="26"/>
      <x:c r="E126" s="25"/>
      <x:c r="F126" s="25"/>
      <x:c r="G126" s="25"/>
      <x:c r="H126" s="28"/>
      <x:c r="I126" s="28"/>
      <x:c r="J126" s="29"/>
      <x:c r="K126" s="25"/>
      <x:c r="L126" s="26"/>
      <x:c r="M126" s="26"/>
      <x:c r="N126" s="26"/>
      <x:c r="O126" s="28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.75" customHeight="1">
      <x:c r="A127" s="25">
        <x:f t="shared" si="1"/>
      </x:c>
      <x:c r="B127" s="26"/>
      <x:c r="C127" s="26"/>
      <x:c r="D127" s="26"/>
      <x:c r="E127" s="25"/>
      <x:c r="F127" s="25"/>
      <x:c r="G127" s="25"/>
      <x:c r="H127" s="28"/>
      <x:c r="I127" s="28"/>
      <x:c r="J127" s="29"/>
      <x:c r="K127" s="25"/>
      <x:c r="L127" s="26"/>
      <x:c r="M127" s="26"/>
      <x:c r="N127" s="26"/>
      <x:c r="O127" s="28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.75" customHeight="1">
      <x:c r="A128" s="25">
        <x:f t="shared" si="1"/>
      </x:c>
      <x:c r="B128" s="26"/>
      <x:c r="C128" s="26"/>
      <x:c r="D128" s="26"/>
      <x:c r="E128" s="25"/>
      <x:c r="F128" s="25"/>
      <x:c r="G128" s="25"/>
      <x:c r="H128" s="28"/>
      <x:c r="I128" s="28"/>
      <x:c r="J128" s="29"/>
      <x:c r="K128" s="25"/>
      <x:c r="L128" s="26"/>
      <x:c r="M128" s="26"/>
      <x:c r="N128" s="26"/>
      <x:c r="O128" s="28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.75" customHeight="1">
      <x:c r="A129" s="25">
        <x:f t="shared" si="1"/>
      </x:c>
      <x:c r="B129" s="26"/>
      <x:c r="C129" s="26"/>
      <x:c r="D129" s="26"/>
      <x:c r="E129" s="25"/>
      <x:c r="F129" s="25"/>
      <x:c r="G129" s="25"/>
      <x:c r="H129" s="28"/>
      <x:c r="I129" s="28"/>
      <x:c r="J129" s="29"/>
      <x:c r="K129" s="25"/>
      <x:c r="L129" s="26"/>
      <x:c r="M129" s="26"/>
      <x:c r="N129" s="26"/>
      <x:c r="O129" s="28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.75" customHeight="1">
      <x:c r="A130" s="25">
        <x:f t="shared" si="1"/>
      </x:c>
      <x:c r="B130" s="26"/>
      <x:c r="C130" s="26"/>
      <x:c r="D130" s="26"/>
      <x:c r="E130" s="25"/>
      <x:c r="F130" s="25"/>
      <x:c r="G130" s="25"/>
      <x:c r="H130" s="28"/>
      <x:c r="I130" s="28"/>
      <x:c r="J130" s="29"/>
      <x:c r="K130" s="25"/>
      <x:c r="L130" s="26"/>
      <x:c r="M130" s="26"/>
      <x:c r="N130" s="26"/>
      <x:c r="O130" s="28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.75" customHeight="1">
      <x:c r="A131" s="25">
        <x:f t="shared" si="1"/>
      </x:c>
      <x:c r="B131" s="26"/>
      <x:c r="C131" s="26"/>
      <x:c r="D131" s="26"/>
      <x:c r="E131" s="25"/>
      <x:c r="F131" s="25"/>
      <x:c r="G131" s="25"/>
      <x:c r="H131" s="28"/>
      <x:c r="I131" s="28"/>
      <x:c r="J131" s="29"/>
      <x:c r="K131" s="25"/>
      <x:c r="L131" s="26"/>
      <x:c r="M131" s="26"/>
      <x:c r="N131" s="26"/>
      <x:c r="O131" s="28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.75" customHeight="1">
      <x:c r="A132" s="25">
        <x:f t="shared" si="1"/>
      </x:c>
      <x:c r="B132" s="26"/>
      <x:c r="C132" s="26"/>
      <x:c r="D132" s="26"/>
      <x:c r="E132" s="25"/>
      <x:c r="F132" s="25"/>
      <x:c r="G132" s="25"/>
      <x:c r="H132" s="28"/>
      <x:c r="I132" s="28"/>
      <x:c r="J132" s="29"/>
      <x:c r="K132" s="25"/>
      <x:c r="L132" s="26"/>
      <x:c r="M132" s="26"/>
      <x:c r="N132" s="26"/>
      <x:c r="O132" s="28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.75" customHeight="1">
      <x:c r="A133" s="25">
        <x:f t="shared" si="1"/>
      </x:c>
      <x:c r="B133" s="26"/>
      <x:c r="C133" s="26"/>
      <x:c r="D133" s="26"/>
      <x:c r="E133" s="25"/>
      <x:c r="F133" s="25"/>
      <x:c r="G133" s="25"/>
      <x:c r="H133" s="28"/>
      <x:c r="I133" s="28"/>
      <x:c r="J133" s="29"/>
      <x:c r="K133" s="25"/>
      <x:c r="L133" s="26"/>
      <x:c r="M133" s="26"/>
      <x:c r="N133" s="26"/>
      <x:c r="O133" s="28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.75" customHeight="1">
      <x:c r="A134" s="25">
        <x:f t="shared" si="1"/>
      </x:c>
      <x:c r="B134" s="26"/>
      <x:c r="C134" s="26"/>
      <x:c r="D134" s="26"/>
      <x:c r="E134" s="25"/>
      <x:c r="F134" s="25"/>
      <x:c r="G134" s="25"/>
      <x:c r="H134" s="28"/>
      <x:c r="I134" s="28"/>
      <x:c r="J134" s="29"/>
      <x:c r="K134" s="25"/>
      <x:c r="L134" s="26"/>
      <x:c r="M134" s="26"/>
      <x:c r="N134" s="26"/>
      <x:c r="O134" s="28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.75" customHeight="1">
      <x:c r="A135" s="25">
        <x:f t="shared" si="1"/>
      </x:c>
      <x:c r="B135" s="26"/>
      <x:c r="C135" s="26"/>
      <x:c r="D135" s="26"/>
      <x:c r="E135" s="25"/>
      <x:c r="F135" s="25"/>
      <x:c r="G135" s="25"/>
      <x:c r="H135" s="28"/>
      <x:c r="I135" s="28"/>
      <x:c r="J135" s="29"/>
      <x:c r="K135" s="25"/>
      <x:c r="L135" s="26"/>
      <x:c r="M135" s="26"/>
      <x:c r="N135" s="26"/>
      <x:c r="O135" s="28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.75" customHeight="1">
      <x:c r="A136" s="25">
        <x:f t="shared" si="1"/>
      </x:c>
      <x:c r="B136" s="26"/>
      <x:c r="C136" s="26"/>
      <x:c r="D136" s="26"/>
      <x:c r="E136" s="25"/>
      <x:c r="F136" s="25"/>
      <x:c r="G136" s="25"/>
      <x:c r="H136" s="28"/>
      <x:c r="I136" s="28"/>
      <x:c r="J136" s="29"/>
      <x:c r="K136" s="25"/>
      <x:c r="L136" s="26"/>
      <x:c r="M136" s="26"/>
      <x:c r="N136" s="26"/>
      <x:c r="O136" s="28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.75" customHeight="1">
      <x:c r="A137" s="25">
        <x:f t="shared" si="1"/>
      </x:c>
      <x:c r="B137" s="26"/>
      <x:c r="C137" s="26"/>
      <x:c r="D137" s="26"/>
      <x:c r="E137" s="25"/>
      <x:c r="F137" s="25"/>
      <x:c r="G137" s="25"/>
      <x:c r="H137" s="28"/>
      <x:c r="I137" s="28"/>
      <x:c r="J137" s="29"/>
      <x:c r="K137" s="25"/>
      <x:c r="L137" s="26"/>
      <x:c r="M137" s="26"/>
      <x:c r="N137" s="26"/>
      <x:c r="O137" s="28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.75" customHeight="1">
      <x:c r="A138" s="25">
        <x:f t="shared" si="1"/>
      </x:c>
      <x:c r="B138" s="26"/>
      <x:c r="C138" s="26"/>
      <x:c r="D138" s="26"/>
      <x:c r="E138" s="25"/>
      <x:c r="F138" s="25"/>
      <x:c r="G138" s="25"/>
      <x:c r="H138" s="28"/>
      <x:c r="I138" s="28"/>
      <x:c r="J138" s="29"/>
      <x:c r="K138" s="25"/>
      <x:c r="L138" s="26"/>
      <x:c r="M138" s="26"/>
      <x:c r="N138" s="26"/>
      <x:c r="O138" s="28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.75" customHeight="1">
      <x:c r="A139" s="25">
        <x:f t="shared" si="1"/>
      </x:c>
      <x:c r="B139" s="26"/>
      <x:c r="C139" s="26"/>
      <x:c r="D139" s="26"/>
      <x:c r="E139" s="25"/>
      <x:c r="F139" s="25"/>
      <x:c r="G139" s="25"/>
      <x:c r="H139" s="28"/>
      <x:c r="I139" s="28"/>
      <x:c r="J139" s="29"/>
      <x:c r="K139" s="25"/>
      <x:c r="L139" s="26"/>
      <x:c r="M139" s="26"/>
      <x:c r="N139" s="26"/>
      <x:c r="O139" s="28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.75" customHeight="1">
      <x:c r="A140" s="25">
        <x:f t="shared" si="1"/>
      </x:c>
      <x:c r="B140" s="26"/>
      <x:c r="C140" s="26"/>
      <x:c r="D140" s="26"/>
      <x:c r="E140" s="25"/>
      <x:c r="F140" s="25"/>
      <x:c r="G140" s="25"/>
      <x:c r="H140" s="28"/>
      <x:c r="I140" s="28"/>
      <x:c r="J140" s="29"/>
      <x:c r="K140" s="25"/>
      <x:c r="L140" s="26"/>
      <x:c r="M140" s="26"/>
      <x:c r="N140" s="26"/>
      <x:c r="O140" s="28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.75" customHeight="1">
      <x:c r="A141" s="25">
        <x:f t="shared" si="1"/>
      </x:c>
      <x:c r="B141" s="26"/>
      <x:c r="C141" s="26"/>
      <x:c r="D141" s="26"/>
      <x:c r="E141" s="25"/>
      <x:c r="F141" s="25"/>
      <x:c r="G141" s="25"/>
      <x:c r="H141" s="28"/>
      <x:c r="I141" s="28"/>
      <x:c r="J141" s="29"/>
      <x:c r="K141" s="25"/>
      <x:c r="L141" s="26"/>
      <x:c r="M141" s="26"/>
      <x:c r="N141" s="26"/>
      <x:c r="O141" s="28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.75" customHeight="1">
      <x:c r="A142" s="25">
        <x:f t="shared" si="1"/>
      </x:c>
      <x:c r="B142" s="26"/>
      <x:c r="C142" s="26"/>
      <x:c r="D142" s="26"/>
      <x:c r="E142" s="25"/>
      <x:c r="F142" s="25"/>
      <x:c r="G142" s="25"/>
      <x:c r="H142" s="28"/>
      <x:c r="I142" s="28"/>
      <x:c r="J142" s="29"/>
      <x:c r="K142" s="25"/>
      <x:c r="L142" s="26"/>
      <x:c r="M142" s="26"/>
      <x:c r="N142" s="26"/>
      <x:c r="O142" s="28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.75" customHeight="1">
      <x:c r="A143" s="25">
        <x:f t="shared" si="1"/>
      </x:c>
      <x:c r="B143" s="26"/>
      <x:c r="C143" s="26"/>
      <x:c r="D143" s="26"/>
      <x:c r="E143" s="25"/>
      <x:c r="F143" s="25"/>
      <x:c r="G143" s="25"/>
      <x:c r="H143" s="28"/>
      <x:c r="I143" s="28"/>
      <x:c r="J143" s="29"/>
      <x:c r="K143" s="25"/>
      <x:c r="L143" s="26"/>
      <x:c r="M143" s="26"/>
      <x:c r="N143" s="26"/>
      <x:c r="O143" s="28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.75" customHeight="1">
      <x:c r="A144" s="25">
        <x:f t="shared" si="1"/>
      </x:c>
      <x:c r="B144" s="26"/>
      <x:c r="C144" s="26"/>
      <x:c r="D144" s="26"/>
      <x:c r="E144" s="25"/>
      <x:c r="F144" s="25"/>
      <x:c r="G144" s="25"/>
      <x:c r="H144" s="28"/>
      <x:c r="I144" s="28"/>
      <x:c r="J144" s="29"/>
      <x:c r="K144" s="25"/>
      <x:c r="L144" s="26"/>
      <x:c r="M144" s="26"/>
      <x:c r="N144" s="26"/>
      <x:c r="O144" s="28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.75" customHeight="1">
      <x:c r="A145" s="25">
        <x:f t="shared" si="1"/>
      </x:c>
      <x:c r="B145" s="26"/>
      <x:c r="C145" s="26"/>
      <x:c r="D145" s="26"/>
      <x:c r="E145" s="25"/>
      <x:c r="F145" s="25"/>
      <x:c r="G145" s="25"/>
      <x:c r="H145" s="28"/>
      <x:c r="I145" s="28"/>
      <x:c r="J145" s="29"/>
      <x:c r="K145" s="25"/>
      <x:c r="L145" s="26"/>
      <x:c r="M145" s="26"/>
      <x:c r="N145" s="26"/>
      <x:c r="O145" s="28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.75" customHeight="1">
      <x:c r="A146" s="25">
        <x:f t="shared" si="1"/>
      </x:c>
      <x:c r="B146" s="26"/>
      <x:c r="C146" s="26"/>
      <x:c r="D146" s="26"/>
      <x:c r="E146" s="25"/>
      <x:c r="F146" s="25"/>
      <x:c r="G146" s="25"/>
      <x:c r="H146" s="28"/>
      <x:c r="I146" s="28"/>
      <x:c r="J146" s="29"/>
      <x:c r="K146" s="25"/>
      <x:c r="L146" s="26"/>
      <x:c r="M146" s="26"/>
      <x:c r="N146" s="26"/>
      <x:c r="O146" s="28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.75" customHeight="1">
      <x:c r="A147" s="25">
        <x:f t="shared" si="1"/>
      </x:c>
      <x:c r="B147" s="26"/>
      <x:c r="C147" s="26"/>
      <x:c r="D147" s="26"/>
      <x:c r="E147" s="25"/>
      <x:c r="F147" s="25"/>
      <x:c r="G147" s="25"/>
      <x:c r="H147" s="28"/>
      <x:c r="I147" s="28"/>
      <x:c r="J147" s="29"/>
      <x:c r="K147" s="25"/>
      <x:c r="L147" s="26"/>
      <x:c r="M147" s="26"/>
      <x:c r="N147" s="26"/>
      <x:c r="O147" s="28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.75" customHeight="1">
      <x:c r="A148" s="25">
        <x:f t="shared" si="1"/>
      </x:c>
      <x:c r="B148" s="26"/>
      <x:c r="C148" s="26"/>
      <x:c r="D148" s="26"/>
      <x:c r="E148" s="25"/>
      <x:c r="F148" s="25"/>
      <x:c r="G148" s="25"/>
      <x:c r="H148" s="28"/>
      <x:c r="I148" s="28"/>
      <x:c r="J148" s="29"/>
      <x:c r="K148" s="25"/>
      <x:c r="L148" s="26"/>
      <x:c r="M148" s="26"/>
      <x:c r="N148" s="26"/>
      <x:c r="O148" s="28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.75" customHeight="1">
      <x:c r="A149" s="25">
        <x:f t="shared" si="1"/>
      </x:c>
      <x:c r="B149" s="26"/>
      <x:c r="C149" s="26"/>
      <x:c r="D149" s="26"/>
      <x:c r="E149" s="25"/>
      <x:c r="F149" s="25"/>
      <x:c r="G149" s="25"/>
      <x:c r="H149" s="28"/>
      <x:c r="I149" s="28"/>
      <x:c r="J149" s="29"/>
      <x:c r="K149" s="25"/>
      <x:c r="L149" s="26"/>
      <x:c r="M149" s="26"/>
      <x:c r="N149" s="26"/>
      <x:c r="O149" s="28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.75" customHeight="1">
      <x:c r="A150" s="25">
        <x:f t="shared" si="1"/>
      </x:c>
      <x:c r="B150" s="26"/>
      <x:c r="C150" s="26"/>
      <x:c r="D150" s="26"/>
      <x:c r="E150" s="25"/>
      <x:c r="F150" s="25"/>
      <x:c r="G150" s="25"/>
      <x:c r="H150" s="28"/>
      <x:c r="I150" s="28"/>
      <x:c r="J150" s="29"/>
      <x:c r="K150" s="25"/>
      <x:c r="L150" s="26"/>
      <x:c r="M150" s="26"/>
      <x:c r="N150" s="26"/>
      <x:c r="O150" s="28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.75" customHeight="1">
      <x:c r="A151" s="25">
        <x:f t="shared" si="1"/>
      </x:c>
      <x:c r="B151" s="26"/>
      <x:c r="C151" s="26"/>
      <x:c r="D151" s="26"/>
      <x:c r="E151" s="25"/>
      <x:c r="F151" s="25"/>
      <x:c r="G151" s="25"/>
      <x:c r="H151" s="28"/>
      <x:c r="I151" s="28"/>
      <x:c r="J151" s="29"/>
      <x:c r="K151" s="25"/>
      <x:c r="L151" s="26"/>
      <x:c r="M151" s="26"/>
      <x:c r="N151" s="26"/>
      <x:c r="O151" s="28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.75" customHeight="1">
      <x:c r="A152" s="25">
        <x:f t="shared" si="1"/>
      </x:c>
      <x:c r="B152" s="26"/>
      <x:c r="C152" s="26"/>
      <x:c r="D152" s="26"/>
      <x:c r="E152" s="25"/>
      <x:c r="F152" s="25"/>
      <x:c r="G152" s="25"/>
      <x:c r="H152" s="28"/>
      <x:c r="I152" s="28"/>
      <x:c r="J152" s="29"/>
      <x:c r="K152" s="25"/>
      <x:c r="L152" s="26"/>
      <x:c r="M152" s="26"/>
      <x:c r="N152" s="26"/>
      <x:c r="O152" s="28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.75" customHeight="1">
      <x:c r="A153" s="25">
        <x:f t="shared" si="1"/>
      </x:c>
      <x:c r="B153" s="26"/>
      <x:c r="C153" s="26"/>
      <x:c r="D153" s="26"/>
      <x:c r="E153" s="25"/>
      <x:c r="F153" s="25"/>
      <x:c r="G153" s="25"/>
      <x:c r="H153" s="28"/>
      <x:c r="I153" s="28"/>
      <x:c r="J153" s="29"/>
      <x:c r="K153" s="25"/>
      <x:c r="L153" s="26"/>
      <x:c r="M153" s="26"/>
      <x:c r="N153" s="26"/>
      <x:c r="O153" s="28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.75" customHeight="1">
      <x:c r="A154" s="25">
        <x:f t="shared" si="1"/>
      </x:c>
      <x:c r="B154" s="26"/>
      <x:c r="C154" s="26"/>
      <x:c r="D154" s="26"/>
      <x:c r="E154" s="25"/>
      <x:c r="F154" s="25"/>
      <x:c r="G154" s="25"/>
      <x:c r="H154" s="28"/>
      <x:c r="I154" s="28"/>
      <x:c r="J154" s="29"/>
      <x:c r="K154" s="25"/>
      <x:c r="L154" s="26"/>
      <x:c r="M154" s="26"/>
      <x:c r="N154" s="26"/>
      <x:c r="O154" s="28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.75" customHeight="1">
      <x:c r="A155" s="25">
        <x:f t="shared" si="1"/>
      </x:c>
      <x:c r="B155" s="26"/>
      <x:c r="C155" s="26"/>
      <x:c r="D155" s="26"/>
      <x:c r="E155" s="25"/>
      <x:c r="F155" s="25"/>
      <x:c r="G155" s="25"/>
      <x:c r="H155" s="28"/>
      <x:c r="I155" s="28"/>
      <x:c r="J155" s="29"/>
      <x:c r="K155" s="25"/>
      <x:c r="L155" s="26"/>
      <x:c r="M155" s="26"/>
      <x:c r="N155" s="26"/>
      <x:c r="O155" s="28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.75" customHeight="1">
      <x:c r="A156" s="25">
        <x:f t="shared" si="1"/>
      </x:c>
      <x:c r="B156" s="26"/>
      <x:c r="C156" s="26"/>
      <x:c r="D156" s="26"/>
      <x:c r="E156" s="25"/>
      <x:c r="F156" s="25"/>
      <x:c r="G156" s="25"/>
      <x:c r="H156" s="28"/>
      <x:c r="I156" s="28"/>
      <x:c r="J156" s="29"/>
      <x:c r="K156" s="25"/>
      <x:c r="L156" s="26"/>
      <x:c r="M156" s="26"/>
      <x:c r="N156" s="26"/>
      <x:c r="O156" s="28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.75" customHeight="1">
      <x:c r="A157" s="25">
        <x:f t="shared" si="1"/>
      </x:c>
      <x:c r="B157" s="26"/>
      <x:c r="C157" s="26"/>
      <x:c r="D157" s="26"/>
      <x:c r="E157" s="25"/>
      <x:c r="F157" s="25"/>
      <x:c r="G157" s="25"/>
      <x:c r="H157" s="28"/>
      <x:c r="I157" s="28"/>
      <x:c r="J157" s="29"/>
      <x:c r="K157" s="25"/>
      <x:c r="L157" s="26"/>
      <x:c r="M157" s="26"/>
      <x:c r="N157" s="26"/>
      <x:c r="O157" s="28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.75" customHeight="1">
      <x:c r="A158" s="25">
        <x:f t="shared" si="1"/>
      </x:c>
      <x:c r="B158" s="26"/>
      <x:c r="C158" s="26"/>
      <x:c r="D158" s="26"/>
      <x:c r="E158" s="25"/>
      <x:c r="F158" s="25"/>
      <x:c r="G158" s="25"/>
      <x:c r="H158" s="28"/>
      <x:c r="I158" s="28"/>
      <x:c r="J158" s="29"/>
      <x:c r="K158" s="25"/>
      <x:c r="L158" s="26"/>
      <x:c r="M158" s="26"/>
      <x:c r="N158" s="26"/>
      <x:c r="O158" s="28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.75" customHeight="1">
      <x:c r="A159" s="25">
        <x:f t="shared" si="1"/>
      </x:c>
      <x:c r="B159" s="26"/>
      <x:c r="C159" s="26"/>
      <x:c r="D159" s="26"/>
      <x:c r="E159" s="25"/>
      <x:c r="F159" s="25"/>
      <x:c r="G159" s="25"/>
      <x:c r="H159" s="28"/>
      <x:c r="I159" s="28"/>
      <x:c r="J159" s="29"/>
      <x:c r="K159" s="25"/>
      <x:c r="L159" s="26"/>
      <x:c r="M159" s="26"/>
      <x:c r="N159" s="26"/>
      <x:c r="O159" s="28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.75" customHeight="1">
      <x:c r="A160" s="25">
        <x:f t="shared" si="1"/>
      </x:c>
      <x:c r="B160" s="26"/>
      <x:c r="C160" s="26"/>
      <x:c r="D160" s="26"/>
      <x:c r="E160" s="25"/>
      <x:c r="F160" s="25"/>
      <x:c r="G160" s="25"/>
      <x:c r="H160" s="28"/>
      <x:c r="I160" s="28"/>
      <x:c r="J160" s="29"/>
      <x:c r="K160" s="25"/>
      <x:c r="L160" s="26"/>
      <x:c r="M160" s="26"/>
      <x:c r="N160" s="26"/>
      <x:c r="O160" s="28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.75" customHeight="1">
      <x:c r="A161" s="25">
        <x:f t="shared" si="1"/>
      </x:c>
      <x:c r="B161" s="26"/>
      <x:c r="C161" s="26"/>
      <x:c r="D161" s="26"/>
      <x:c r="E161" s="25"/>
      <x:c r="F161" s="25"/>
      <x:c r="G161" s="25"/>
      <x:c r="H161" s="28"/>
      <x:c r="I161" s="28"/>
      <x:c r="J161" s="29"/>
      <x:c r="K161" s="25"/>
      <x:c r="L161" s="26"/>
      <x:c r="M161" s="26"/>
      <x:c r="N161" s="26"/>
      <x:c r="O161" s="28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.75" customHeight="1">
      <x:c r="A162" s="25">
        <x:f t="shared" si="1"/>
      </x:c>
      <x:c r="B162" s="26"/>
      <x:c r="C162" s="26"/>
      <x:c r="D162" s="26"/>
      <x:c r="E162" s="25"/>
      <x:c r="F162" s="25"/>
      <x:c r="G162" s="25"/>
      <x:c r="H162" s="28"/>
      <x:c r="I162" s="28"/>
      <x:c r="J162" s="29"/>
      <x:c r="K162" s="25"/>
      <x:c r="L162" s="26"/>
      <x:c r="M162" s="26"/>
      <x:c r="N162" s="26"/>
      <x:c r="O162" s="28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.75" customHeight="1">
      <x:c r="A163" s="25">
        <x:f t="shared" si="1"/>
      </x:c>
      <x:c r="B163" s="26"/>
      <x:c r="C163" s="26"/>
      <x:c r="D163" s="26"/>
      <x:c r="E163" s="25"/>
      <x:c r="F163" s="25"/>
      <x:c r="G163" s="25"/>
      <x:c r="H163" s="28"/>
      <x:c r="I163" s="28"/>
      <x:c r="J163" s="29"/>
      <x:c r="K163" s="25"/>
      <x:c r="L163" s="26"/>
      <x:c r="M163" s="26"/>
      <x:c r="N163" s="26"/>
      <x:c r="O163" s="28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.75" customHeight="1">
      <x:c r="A164" s="25">
        <x:f t="shared" si="1"/>
      </x:c>
      <x:c r="B164" s="26"/>
      <x:c r="C164" s="26"/>
      <x:c r="D164" s="26"/>
      <x:c r="E164" s="25"/>
      <x:c r="F164" s="25"/>
      <x:c r="G164" s="25"/>
      <x:c r="H164" s="28"/>
      <x:c r="I164" s="28"/>
      <x:c r="J164" s="29"/>
      <x:c r="K164" s="25"/>
      <x:c r="L164" s="26"/>
      <x:c r="M164" s="26"/>
      <x:c r="N164" s="26"/>
      <x:c r="O164" s="28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.75" customHeight="1">
      <x:c r="A165" s="25">
        <x:f t="shared" si="1"/>
      </x:c>
      <x:c r="B165" s="26"/>
      <x:c r="C165" s="26"/>
      <x:c r="D165" s="26"/>
      <x:c r="E165" s="25"/>
      <x:c r="F165" s="25"/>
      <x:c r="G165" s="25"/>
      <x:c r="H165" s="28"/>
      <x:c r="I165" s="28"/>
      <x:c r="J165" s="29"/>
      <x:c r="K165" s="25"/>
      <x:c r="L165" s="26"/>
      <x:c r="M165" s="26"/>
      <x:c r="N165" s="26"/>
      <x:c r="O165" s="28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.75" customHeight="1">
      <x:c r="A166" s="25">
        <x:f t="shared" si="1"/>
      </x:c>
      <x:c r="B166" s="26"/>
      <x:c r="C166" s="26"/>
      <x:c r="D166" s="26"/>
      <x:c r="E166" s="25"/>
      <x:c r="F166" s="25"/>
      <x:c r="G166" s="25"/>
      <x:c r="H166" s="28"/>
      <x:c r="I166" s="28"/>
      <x:c r="J166" s="29"/>
      <x:c r="K166" s="25"/>
      <x:c r="L166" s="26"/>
      <x:c r="M166" s="26"/>
      <x:c r="N166" s="26"/>
      <x:c r="O166" s="28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.75" customHeight="1">
      <x:c r="A167" s="25">
        <x:f t="shared" si="1"/>
      </x:c>
      <x:c r="B167" s="26"/>
      <x:c r="C167" s="26"/>
      <x:c r="D167" s="26"/>
      <x:c r="E167" s="25"/>
      <x:c r="F167" s="25"/>
      <x:c r="G167" s="25"/>
      <x:c r="H167" s="28"/>
      <x:c r="I167" s="28"/>
      <x:c r="J167" s="29"/>
      <x:c r="K167" s="25"/>
      <x:c r="L167" s="26"/>
      <x:c r="M167" s="26"/>
      <x:c r="N167" s="26"/>
      <x:c r="O167" s="28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.75" customHeight="1">
      <x:c r="A168" s="25">
        <x:f t="shared" si="1"/>
      </x:c>
      <x:c r="B168" s="26"/>
      <x:c r="C168" s="26"/>
      <x:c r="D168" s="26"/>
      <x:c r="E168" s="25"/>
      <x:c r="F168" s="25"/>
      <x:c r="G168" s="25"/>
      <x:c r="H168" s="28"/>
      <x:c r="I168" s="28"/>
      <x:c r="J168" s="29"/>
      <x:c r="K168" s="25"/>
      <x:c r="L168" s="26"/>
      <x:c r="M168" s="26"/>
      <x:c r="N168" s="26"/>
      <x:c r="O168" s="28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.75" customHeight="1">
      <x:c r="A169" s="25">
        <x:f t="shared" si="1"/>
      </x:c>
      <x:c r="B169" s="26"/>
      <x:c r="C169" s="26"/>
      <x:c r="D169" s="26"/>
      <x:c r="E169" s="25"/>
      <x:c r="F169" s="25"/>
      <x:c r="G169" s="25"/>
      <x:c r="H169" s="28"/>
      <x:c r="I169" s="28"/>
      <x:c r="J169" s="29"/>
      <x:c r="K169" s="25"/>
      <x:c r="L169" s="26"/>
      <x:c r="M169" s="26"/>
      <x:c r="N169" s="26"/>
      <x:c r="O169" s="28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.75" customHeight="1">
      <x:c r="A170" s="25">
        <x:f t="shared" si="1"/>
      </x:c>
      <x:c r="B170" s="26"/>
      <x:c r="C170" s="26"/>
      <x:c r="D170" s="26"/>
      <x:c r="E170" s="25"/>
      <x:c r="F170" s="25"/>
      <x:c r="G170" s="25"/>
      <x:c r="H170" s="28"/>
      <x:c r="I170" s="28"/>
      <x:c r="J170" s="29"/>
      <x:c r="K170" s="25"/>
      <x:c r="L170" s="26"/>
      <x:c r="M170" s="26"/>
      <x:c r="N170" s="26"/>
      <x:c r="O170" s="28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.75" customHeight="1">
      <x:c r="A171" s="25">
        <x:f t="shared" si="1"/>
      </x:c>
      <x:c r="B171" s="26"/>
      <x:c r="C171" s="26"/>
      <x:c r="D171" s="26"/>
      <x:c r="E171" s="25"/>
      <x:c r="F171" s="25"/>
      <x:c r="G171" s="25"/>
      <x:c r="H171" s="28"/>
      <x:c r="I171" s="28"/>
      <x:c r="J171" s="29"/>
      <x:c r="K171" s="25"/>
      <x:c r="L171" s="26"/>
      <x:c r="M171" s="26"/>
      <x:c r="N171" s="26"/>
      <x:c r="O171" s="28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.75" customHeight="1">
      <x:c r="A172" s="25">
        <x:f t="shared" si="1"/>
      </x:c>
      <x:c r="B172" s="26"/>
      <x:c r="C172" s="26"/>
      <x:c r="D172" s="26"/>
      <x:c r="E172" s="25"/>
      <x:c r="F172" s="25"/>
      <x:c r="G172" s="25"/>
      <x:c r="H172" s="28"/>
      <x:c r="I172" s="28"/>
      <x:c r="J172" s="29"/>
      <x:c r="K172" s="25"/>
      <x:c r="L172" s="26"/>
      <x:c r="M172" s="26"/>
      <x:c r="N172" s="26"/>
      <x:c r="O172" s="28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.75" customHeight="1">
      <x:c r="A173" s="25">
        <x:f t="shared" si="1"/>
      </x:c>
      <x:c r="B173" s="26"/>
      <x:c r="C173" s="26"/>
      <x:c r="D173" s="26"/>
      <x:c r="E173" s="25"/>
      <x:c r="F173" s="25"/>
      <x:c r="G173" s="25"/>
      <x:c r="H173" s="28"/>
      <x:c r="I173" s="28"/>
      <x:c r="J173" s="29"/>
      <x:c r="K173" s="25"/>
      <x:c r="L173" s="26"/>
      <x:c r="M173" s="26"/>
      <x:c r="N173" s="26"/>
      <x:c r="O173" s="28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.75" customHeight="1">
      <x:c r="A174" s="25">
        <x:f t="shared" si="1"/>
      </x:c>
      <x:c r="B174" s="26"/>
      <x:c r="C174" s="26"/>
      <x:c r="D174" s="26"/>
      <x:c r="E174" s="25"/>
      <x:c r="F174" s="25"/>
      <x:c r="G174" s="25"/>
      <x:c r="H174" s="28"/>
      <x:c r="I174" s="28"/>
      <x:c r="J174" s="29"/>
      <x:c r="K174" s="25"/>
      <x:c r="L174" s="26"/>
      <x:c r="M174" s="26"/>
      <x:c r="N174" s="26"/>
      <x:c r="O174" s="28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.75" customHeight="1">
      <x:c r="A175" s="25">
        <x:f t="shared" si="1"/>
      </x:c>
      <x:c r="B175" s="26"/>
      <x:c r="C175" s="26"/>
      <x:c r="D175" s="26"/>
      <x:c r="E175" s="25"/>
      <x:c r="F175" s="25"/>
      <x:c r="G175" s="25"/>
      <x:c r="H175" s="28"/>
      <x:c r="I175" s="28"/>
      <x:c r="J175" s="29"/>
      <x:c r="K175" s="25"/>
      <x:c r="L175" s="26"/>
      <x:c r="M175" s="26"/>
      <x:c r="N175" s="26"/>
      <x:c r="O175" s="28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.75" customHeight="1">
      <x:c r="A176" s="25">
        <x:f t="shared" si="1"/>
      </x:c>
      <x:c r="B176" s="26"/>
      <x:c r="C176" s="26"/>
      <x:c r="D176" s="26"/>
      <x:c r="E176" s="25"/>
      <x:c r="F176" s="25"/>
      <x:c r="G176" s="25"/>
      <x:c r="H176" s="28"/>
      <x:c r="I176" s="28"/>
      <x:c r="J176" s="29"/>
      <x:c r="K176" s="25"/>
      <x:c r="L176" s="26"/>
      <x:c r="M176" s="26"/>
      <x:c r="N176" s="26"/>
      <x:c r="O176" s="28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.75" customHeight="1">
      <x:c r="A177" s="25">
        <x:f t="shared" si="1"/>
      </x:c>
      <x:c r="B177" s="26"/>
      <x:c r="C177" s="26"/>
      <x:c r="D177" s="26"/>
      <x:c r="E177" s="25"/>
      <x:c r="F177" s="25"/>
      <x:c r="G177" s="25"/>
      <x:c r="H177" s="28"/>
      <x:c r="I177" s="28"/>
      <x:c r="J177" s="29"/>
      <x:c r="K177" s="25"/>
      <x:c r="L177" s="26"/>
      <x:c r="M177" s="26"/>
      <x:c r="N177" s="26"/>
      <x:c r="O177" s="28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.75" customHeight="1">
      <x:c r="A178" s="25">
        <x:f t="shared" si="1"/>
      </x:c>
      <x:c r="B178" s="26"/>
      <x:c r="C178" s="26"/>
      <x:c r="D178" s="26"/>
      <x:c r="E178" s="25"/>
      <x:c r="F178" s="25"/>
      <x:c r="G178" s="25"/>
      <x:c r="H178" s="28"/>
      <x:c r="I178" s="28"/>
      <x:c r="J178" s="29"/>
      <x:c r="K178" s="25"/>
      <x:c r="L178" s="26"/>
      <x:c r="M178" s="26"/>
      <x:c r="N178" s="26"/>
      <x:c r="O178" s="28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.75" customHeight="1">
      <x:c r="A179" s="25">
        <x:f t="shared" si="1"/>
      </x:c>
      <x:c r="B179" s="26"/>
      <x:c r="C179" s="26"/>
      <x:c r="D179" s="26"/>
      <x:c r="E179" s="25"/>
      <x:c r="F179" s="25"/>
      <x:c r="G179" s="25"/>
      <x:c r="H179" s="28"/>
      <x:c r="I179" s="28"/>
      <x:c r="J179" s="29"/>
      <x:c r="K179" s="25"/>
      <x:c r="L179" s="26"/>
      <x:c r="M179" s="26"/>
      <x:c r="N179" s="26"/>
      <x:c r="O179" s="28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.75" customHeight="1">
      <x:c r="A180" s="25">
        <x:f t="shared" si="1"/>
      </x:c>
      <x:c r="B180" s="26"/>
      <x:c r="C180" s="26"/>
      <x:c r="D180" s="26"/>
      <x:c r="E180" s="25"/>
      <x:c r="F180" s="25"/>
      <x:c r="G180" s="25"/>
      <x:c r="H180" s="28"/>
      <x:c r="I180" s="28"/>
      <x:c r="J180" s="29"/>
      <x:c r="K180" s="25"/>
      <x:c r="L180" s="26"/>
      <x:c r="M180" s="26"/>
      <x:c r="N180" s="26"/>
      <x:c r="O180" s="28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.75" customHeight="1">
      <x:c r="A181" s="25">
        <x:f t="shared" si="1"/>
      </x:c>
      <x:c r="B181" s="26"/>
      <x:c r="C181" s="26"/>
      <x:c r="D181" s="26"/>
      <x:c r="E181" s="25"/>
      <x:c r="F181" s="25"/>
      <x:c r="G181" s="25"/>
      <x:c r="H181" s="28"/>
      <x:c r="I181" s="28"/>
      <x:c r="J181" s="29"/>
      <x:c r="K181" s="25"/>
      <x:c r="L181" s="26"/>
      <x:c r="M181" s="26"/>
      <x:c r="N181" s="26"/>
      <x:c r="O181" s="28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.75" customHeight="1">
      <x:c r="A182" s="25">
        <x:f t="shared" si="1"/>
      </x:c>
      <x:c r="B182" s="26"/>
      <x:c r="C182" s="26"/>
      <x:c r="D182" s="26"/>
      <x:c r="E182" s="25"/>
      <x:c r="F182" s="25"/>
      <x:c r="G182" s="25"/>
      <x:c r="H182" s="28"/>
      <x:c r="I182" s="28"/>
      <x:c r="J182" s="29"/>
      <x:c r="K182" s="25"/>
      <x:c r="L182" s="26"/>
      <x:c r="M182" s="26"/>
      <x:c r="N182" s="26"/>
      <x:c r="O182" s="28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.75" customHeight="1">
      <x:c r="A183" s="25">
        <x:f t="shared" si="1"/>
      </x:c>
      <x:c r="B183" s="26"/>
      <x:c r="C183" s="26"/>
      <x:c r="D183" s="26"/>
      <x:c r="E183" s="25"/>
      <x:c r="F183" s="25"/>
      <x:c r="G183" s="25"/>
      <x:c r="H183" s="28"/>
      <x:c r="I183" s="28"/>
      <x:c r="J183" s="29"/>
      <x:c r="K183" s="25"/>
      <x:c r="L183" s="26"/>
      <x:c r="M183" s="26"/>
      <x:c r="N183" s="26"/>
      <x:c r="O183" s="28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.75" customHeight="1">
      <x:c r="A184" s="25">
        <x:f t="shared" si="1"/>
      </x:c>
      <x:c r="B184" s="26"/>
      <x:c r="C184" s="26"/>
      <x:c r="D184" s="26"/>
      <x:c r="E184" s="25"/>
      <x:c r="F184" s="25"/>
      <x:c r="G184" s="25"/>
      <x:c r="H184" s="28"/>
      <x:c r="I184" s="28"/>
      <x:c r="J184" s="29"/>
      <x:c r="K184" s="25"/>
      <x:c r="L184" s="26"/>
      <x:c r="M184" s="26"/>
      <x:c r="N184" s="26"/>
      <x:c r="O184" s="28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.75" customHeight="1">
      <x:c r="A185" s="25">
        <x:f t="shared" si="1"/>
      </x:c>
      <x:c r="B185" s="26"/>
      <x:c r="C185" s="26"/>
      <x:c r="D185" s="26"/>
      <x:c r="E185" s="25"/>
      <x:c r="F185" s="25"/>
      <x:c r="G185" s="25"/>
      <x:c r="H185" s="28"/>
      <x:c r="I185" s="28"/>
      <x:c r="J185" s="29"/>
      <x:c r="K185" s="25"/>
      <x:c r="L185" s="26"/>
      <x:c r="M185" s="26"/>
      <x:c r="N185" s="26"/>
      <x:c r="O185" s="28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.75" customHeight="1">
      <x:c r="A186" s="25">
        <x:f t="shared" si="1"/>
      </x:c>
      <x:c r="B186" s="26"/>
      <x:c r="C186" s="26"/>
      <x:c r="D186" s="26"/>
      <x:c r="E186" s="25"/>
      <x:c r="F186" s="25"/>
      <x:c r="G186" s="25"/>
      <x:c r="H186" s="28"/>
      <x:c r="I186" s="28"/>
      <x:c r="J186" s="29"/>
      <x:c r="K186" s="25"/>
      <x:c r="L186" s="26"/>
      <x:c r="M186" s="26"/>
      <x:c r="N186" s="26"/>
      <x:c r="O186" s="28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.75" customHeight="1">
      <x:c r="A187" s="25">
        <x:f t="shared" si="1"/>
      </x:c>
      <x:c r="B187" s="26"/>
      <x:c r="C187" s="26"/>
      <x:c r="D187" s="26"/>
      <x:c r="E187" s="25"/>
      <x:c r="F187" s="25"/>
      <x:c r="G187" s="25"/>
      <x:c r="H187" s="28"/>
      <x:c r="I187" s="28"/>
      <x:c r="J187" s="29"/>
      <x:c r="K187" s="25"/>
      <x:c r="L187" s="26"/>
      <x:c r="M187" s="26"/>
      <x:c r="N187" s="26"/>
      <x:c r="O187" s="28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.75" customHeight="1">
      <x:c r="A188" s="25">
        <x:f t="shared" si="1"/>
      </x:c>
      <x:c r="B188" s="26"/>
      <x:c r="C188" s="26"/>
      <x:c r="D188" s="26"/>
      <x:c r="E188" s="25"/>
      <x:c r="F188" s="25"/>
      <x:c r="G188" s="25"/>
      <x:c r="H188" s="28"/>
      <x:c r="I188" s="28"/>
      <x:c r="J188" s="29"/>
      <x:c r="K188" s="25"/>
      <x:c r="L188" s="26"/>
      <x:c r="M188" s="26"/>
      <x:c r="N188" s="26"/>
      <x:c r="O188" s="28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.75" customHeight="1">
      <x:c r="A189" s="25">
        <x:f t="shared" si="1"/>
      </x:c>
      <x:c r="B189" s="26"/>
      <x:c r="C189" s="26"/>
      <x:c r="D189" s="26"/>
      <x:c r="E189" s="25"/>
      <x:c r="F189" s="25"/>
      <x:c r="G189" s="25"/>
      <x:c r="H189" s="28"/>
      <x:c r="I189" s="28"/>
      <x:c r="J189" s="29"/>
      <x:c r="K189" s="25"/>
      <x:c r="L189" s="26"/>
      <x:c r="M189" s="26"/>
      <x:c r="N189" s="26"/>
      <x:c r="O189" s="28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.75" customHeight="1">
      <x:c r="A190" s="25">
        <x:f t="shared" si="1"/>
      </x:c>
      <x:c r="B190" s="26"/>
      <x:c r="C190" s="26"/>
      <x:c r="D190" s="26"/>
      <x:c r="E190" s="25"/>
      <x:c r="F190" s="25"/>
      <x:c r="G190" s="25"/>
      <x:c r="H190" s="28"/>
      <x:c r="I190" s="28"/>
      <x:c r="J190" s="29"/>
      <x:c r="K190" s="25"/>
      <x:c r="L190" s="26"/>
      <x:c r="M190" s="26"/>
      <x:c r="N190" s="26"/>
      <x:c r="O190" s="28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.75" customHeight="1">
      <x:c r="A191" s="25">
        <x:f t="shared" si="1"/>
      </x:c>
      <x:c r="B191" s="26"/>
      <x:c r="C191" s="26"/>
      <x:c r="D191" s="26"/>
      <x:c r="E191" s="25"/>
      <x:c r="F191" s="25"/>
      <x:c r="G191" s="25"/>
      <x:c r="H191" s="28"/>
      <x:c r="I191" s="28"/>
      <x:c r="J191" s="29"/>
      <x:c r="K191" s="25"/>
      <x:c r="L191" s="26"/>
      <x:c r="M191" s="26"/>
      <x:c r="N191" s="26"/>
      <x:c r="O191" s="28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.75" customHeight="1">
      <x:c r="A192" s="25">
        <x:f t="shared" si="1"/>
      </x:c>
      <x:c r="B192" s="26"/>
      <x:c r="C192" s="26"/>
      <x:c r="D192" s="26"/>
      <x:c r="E192" s="25"/>
      <x:c r="F192" s="25"/>
      <x:c r="G192" s="25"/>
      <x:c r="H192" s="28"/>
      <x:c r="I192" s="28"/>
      <x:c r="J192" s="29"/>
      <x:c r="K192" s="25"/>
      <x:c r="L192" s="26"/>
      <x:c r="M192" s="26"/>
      <x:c r="N192" s="26"/>
      <x:c r="O192" s="28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.75" customHeight="1">
      <x:c r="A193" s="25">
        <x:f t="shared" si="1"/>
      </x:c>
      <x:c r="B193" s="26"/>
      <x:c r="C193" s="26"/>
      <x:c r="D193" s="26"/>
      <x:c r="E193" s="25"/>
      <x:c r="F193" s="25"/>
      <x:c r="G193" s="25"/>
      <x:c r="H193" s="28"/>
      <x:c r="I193" s="28"/>
      <x:c r="J193" s="29"/>
      <x:c r="K193" s="25"/>
      <x:c r="L193" s="26"/>
      <x:c r="M193" s="26"/>
      <x:c r="N193" s="26"/>
      <x:c r="O193" s="28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.75" customHeight="1">
      <x:c r="A194" s="25">
        <x:f t="shared" si="1"/>
      </x:c>
      <x:c r="B194" s="26"/>
      <x:c r="C194" s="26"/>
      <x:c r="D194" s="26"/>
      <x:c r="E194" s="25"/>
      <x:c r="F194" s="25"/>
      <x:c r="G194" s="25"/>
      <x:c r="H194" s="28"/>
      <x:c r="I194" s="28"/>
      <x:c r="J194" s="29"/>
      <x:c r="K194" s="25"/>
      <x:c r="L194" s="26"/>
      <x:c r="M194" s="26"/>
      <x:c r="N194" s="26"/>
      <x:c r="O194" s="28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.75" customHeight="1">
      <x:c r="A195" s="25">
        <x:f t="shared" si="1"/>
      </x:c>
      <x:c r="B195" s="26"/>
      <x:c r="C195" s="26"/>
      <x:c r="D195" s="26"/>
      <x:c r="E195" s="25"/>
      <x:c r="F195" s="25"/>
      <x:c r="G195" s="25"/>
      <x:c r="H195" s="28"/>
      <x:c r="I195" s="28"/>
      <x:c r="J195" s="29"/>
      <x:c r="K195" s="25"/>
      <x:c r="L195" s="26"/>
      <x:c r="M195" s="26"/>
      <x:c r="N195" s="26"/>
      <x:c r="O195" s="28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.75" customHeight="1">
      <x:c r="A196" s="25">
        <x:f t="shared" si="1"/>
      </x:c>
      <x:c r="B196" s="26"/>
      <x:c r="C196" s="26"/>
      <x:c r="D196" s="26"/>
      <x:c r="E196" s="25"/>
      <x:c r="F196" s="25"/>
      <x:c r="G196" s="25"/>
      <x:c r="H196" s="28"/>
      <x:c r="I196" s="28"/>
      <x:c r="J196" s="29"/>
      <x:c r="K196" s="25"/>
      <x:c r="L196" s="26"/>
      <x:c r="M196" s="26"/>
      <x:c r="N196" s="26"/>
      <x:c r="O196" s="28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.75" customHeight="1">
      <x:c r="A197" s="25">
        <x:f t="shared" si="1"/>
      </x:c>
      <x:c r="B197" s="26"/>
      <x:c r="C197" s="26"/>
      <x:c r="D197" s="26"/>
      <x:c r="E197" s="25"/>
      <x:c r="F197" s="25"/>
      <x:c r="G197" s="25"/>
      <x:c r="H197" s="28"/>
      <x:c r="I197" s="28"/>
      <x:c r="J197" s="29"/>
      <x:c r="K197" s="25"/>
      <x:c r="L197" s="26"/>
      <x:c r="M197" s="26"/>
      <x:c r="N197" s="26"/>
      <x:c r="O197" s="28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.75" customHeight="1">
      <x:c r="A198" s="25">
        <x:f t="shared" si="1"/>
      </x:c>
      <x:c r="B198" s="26"/>
      <x:c r="C198" s="26"/>
      <x:c r="D198" s="26"/>
      <x:c r="E198" s="25"/>
      <x:c r="F198" s="25"/>
      <x:c r="G198" s="25"/>
      <x:c r="H198" s="28"/>
      <x:c r="I198" s="28"/>
      <x:c r="J198" s="29"/>
      <x:c r="K198" s="25"/>
      <x:c r="L198" s="26"/>
      <x:c r="M198" s="26"/>
      <x:c r="N198" s="26"/>
      <x:c r="O198" s="28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.75" customHeight="1">
      <x:c r="A199" s="25">
        <x:f t="shared" si="1"/>
      </x:c>
      <x:c r="B199" s="26"/>
      <x:c r="C199" s="26"/>
      <x:c r="D199" s="26"/>
      <x:c r="E199" s="25"/>
      <x:c r="F199" s="25"/>
      <x:c r="G199" s="25"/>
      <x:c r="H199" s="28"/>
      <x:c r="I199" s="28"/>
      <x:c r="J199" s="29"/>
      <x:c r="K199" s="25"/>
      <x:c r="L199" s="26"/>
      <x:c r="M199" s="26"/>
      <x:c r="N199" s="26"/>
      <x:c r="O199" s="28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.75" customHeight="1">
      <x:c r="A200" s="25">
        <x:f t="shared" si="1"/>
      </x:c>
      <x:c r="B200" s="26"/>
      <x:c r="C200" s="26"/>
      <x:c r="D200" s="26"/>
      <x:c r="E200" s="25"/>
      <x:c r="F200" s="25"/>
      <x:c r="G200" s="25"/>
      <x:c r="H200" s="28"/>
      <x:c r="I200" s="28"/>
      <x:c r="J200" s="29"/>
      <x:c r="K200" s="25"/>
      <x:c r="L200" s="26"/>
      <x:c r="M200" s="26"/>
      <x:c r="N200" s="26"/>
      <x:c r="O200" s="28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.75" customHeight="1">
      <x:c r="A201" s="25">
        <x:f t="shared" si="1"/>
      </x:c>
      <x:c r="B201" s="26"/>
      <x:c r="C201" s="26"/>
      <x:c r="D201" s="26"/>
      <x:c r="E201" s="25"/>
      <x:c r="F201" s="25"/>
      <x:c r="G201" s="25"/>
      <x:c r="H201" s="28"/>
      <x:c r="I201" s="28"/>
      <x:c r="J201" s="29"/>
      <x:c r="K201" s="25"/>
      <x:c r="L201" s="26"/>
      <x:c r="M201" s="26"/>
      <x:c r="N201" s="26"/>
      <x:c r="O201" s="28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.75" customHeight="1">
      <x:c r="A202" s="25">
        <x:f t="shared" si="1"/>
      </x:c>
      <x:c r="B202" s="26"/>
      <x:c r="C202" s="26"/>
      <x:c r="D202" s="26"/>
      <x:c r="E202" s="25"/>
      <x:c r="F202" s="25"/>
      <x:c r="G202" s="25"/>
      <x:c r="H202" s="28"/>
      <x:c r="I202" s="28"/>
      <x:c r="J202" s="29"/>
      <x:c r="K202" s="25"/>
      <x:c r="L202" s="26"/>
      <x:c r="M202" s="26"/>
      <x:c r="N202" s="26"/>
      <x:c r="O202" s="28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.75" customHeight="1">
      <x:c r="A203" s="25">
        <x:f t="shared" si="1"/>
      </x:c>
      <x:c r="B203" s="26"/>
      <x:c r="C203" s="26"/>
      <x:c r="D203" s="26"/>
      <x:c r="E203" s="25"/>
      <x:c r="F203" s="25"/>
      <x:c r="G203" s="25"/>
      <x:c r="H203" s="28"/>
      <x:c r="I203" s="28"/>
      <x:c r="J203" s="29"/>
      <x:c r="K203" s="25"/>
      <x:c r="L203" s="26"/>
      <x:c r="M203" s="26"/>
      <x:c r="N203" s="26"/>
      <x:c r="O203" s="28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.75" customHeight="1">
      <x:c r="A204" s="25">
        <x:f t="shared" si="1"/>
      </x:c>
      <x:c r="B204" s="26"/>
      <x:c r="C204" s="26"/>
      <x:c r="D204" s="26"/>
      <x:c r="E204" s="25"/>
      <x:c r="F204" s="25"/>
      <x:c r="G204" s="25"/>
      <x:c r="H204" s="28"/>
      <x:c r="I204" s="28"/>
      <x:c r="J204" s="29"/>
      <x:c r="K204" s="25"/>
      <x:c r="L204" s="26"/>
      <x:c r="M204" s="26"/>
      <x:c r="N204" s="26"/>
      <x:c r="O204" s="28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.75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.75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.75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.75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.75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.75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.75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.75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.75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.75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.75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.75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.75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.75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.75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.75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.75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.75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.75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.75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.75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.75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.75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.75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.75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.75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.75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.75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.75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.75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.75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.75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.75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.75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.75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.75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.75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.75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.75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.75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.75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.75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.75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.75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.75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.75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O1"/>
    <x:mergeCell ref="A2:O2"/>
  </x:mergeCells>
  <x:conditionalFormatting sqref="F5:F204">
    <x:cfRule type="expression" dxfId="5" priority="1">
      <x:formula>F5="Complete"</x:formula>
    </x:cfRule>
  </x:conditionalFormatting>
  <x:conditionalFormatting sqref="F5:F204">
    <x:cfRule type="expression" dxfId="6" priority="2">
      <x:formula>F5="Waiting for supervisor review"</x:formula>
    </x:cfRule>
  </x:conditionalFormatting>
  <x:conditionalFormatting sqref="F5:F204">
    <x:cfRule type="expression" dxfId="0" priority="3">
      <x:formula>F5="Blocked"</x:formula>
    </x:cfRule>
  </x:conditionalFormatting>
  <x:conditionalFormatting sqref="F5:F204">
    <x:cfRule type="expression" dxfId="7" priority="4">
      <x:formula>F5="In progress"</x:formula>
    </x:cfRule>
  </x:conditionalFormatting>
  <x:conditionalFormatting sqref="I5:I204">
    <x:cfRule type="expression" dxfId="0" priority="5">
      <x:formula>AND(I5&lt;TODAY(),F5&lt;&gt;"Complete",C5&lt;&gt;"")</x:formula>
    </x:cfRule>
  </x:conditionalFormatting>
  <x:dataValidations count="5">
    <x:dataValidation type="list" allowBlank="1" sqref="F5:F204">
      <x:formula1>"Not started,In progress,Waiting for supervisor review,Blocked,Complete,Deferred"</x:formula1>
    </x:dataValidation>
    <x:dataValidation type="list" allowBlank="1" sqref="E5:E204">
      <x:formula1>"Joshua,Supervisor 1,Supervisor 2,Joint"</x:formula1>
    </x:dataValidation>
    <x:dataValidation type="list" allowBlank="1" sqref="K5:K204">
      <x:formula1>"No,Yes"</x:formula1>
    </x:dataValidation>
    <x:dataValidation type="list" allowBlank="1" sqref="B5:B204">
      <x:formula1>"Literature review,Data &amp; imagery,Fieldwork &amp; ground truthing,Methodology &amp; modelling,Analysis &amp; validation,Thesis writing &amp; outputs,Admin &amp; meetings"</x:formula1>
    </x:dataValidation>
    <x:dataValidation type="list" allowBlank="1" sqref="G5:G204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4e50d35f1d4678"/>
  </x:tableParts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28" hidden="0" customWidth="1"/>
    <x:col min="2" max="2" width="22" hidden="0" customWidth="1"/>
    <x:col min="3" max="3" width="14" hidden="0" customWidth="1"/>
    <x:col min="4" max="4" width="18" hidden="0" customWidth="1"/>
    <x:col min="5" max="5" width="12" hidden="0" customWidth="1"/>
    <x:col min="6" max="6" width="42" hidden="0" customWidth="1"/>
    <x:col min="7" max="25" width="8.630000114440918" customWidth="1"/>
  </x:cols>
  <x:sheetData>
    <x:row r="1" ht="27.75" customHeight="1">
      <x:c r="A1" s="38" t="s">
        <x:v>38</x:v>
      </x:c>
      <x:c r="B1" s="39"/>
      <x:c r="C1" s="39"/>
      <x:c r="D1" s="39"/>
      <x:c r="E1" s="39"/>
      <x:c r="F1" s="39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>
      <x:c r="A2" s="40"/>
      <x:c r="B2" s="40"/>
      <x:c r="C2" s="40"/>
      <x:c r="D2" s="40"/>
      <x:c r="E2" s="40"/>
      <x:c r="F2" s="40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ht="15" hidden="0" customHeight="1">
      <x:c r="A3" s="41" t="s">
        <x:v>23</x:v>
      </x:c>
      <x:c r="B3" s="41" t="s">
        <x:v>9</x:v>
      </x:c>
      <x:c r="C3" s="41" t="s">
        <x:v>24</x:v>
      </x:c>
      <x:c r="D3" s="41" t="s">
        <x:v>7</x:v>
      </x:c>
      <x:c r="E3" s="41" t="s">
        <x:v>4</x:v>
      </x:c>
      <x:c r="F3" s="42" t="s">
        <x:v>39</x:v>
      </x:c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ht="24" hidden="0" customHeight="1">
      <x:c r="A4" s="43" t="str">
        <x:v>Project framing and thesis direction clarified</x:v>
      </x:c>
      <x:c r="B4" s="37" t="str">
        <x:v>Literature review</x:v>
      </x:c>
      <x:c r="C4" s="44"/>
      <x:c r="D4" s="43" t="str">
        <x:v>In progress</x:v>
      </x:c>
      <x:c r="E4" s="45" t="n">
        <x:v>0.7</x:v>
      </x:c>
      <x:c r="F4" s="37" t="str">
        <x:v>The project direction is visible, but the research gap and positioning still need tightening.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ht="24" hidden="0" customHeight="1">
      <x:c r="A5" s="37" t="str">
        <x:v>Core literature base assembled</x:v>
      </x:c>
      <x:c r="B5" s="37" t="str">
        <x:v>Literature review</x:v>
      </x:c>
      <x:c r="C5" s="44"/>
      <x:c r="D5" s="37" t="str">
        <x:v>In progress</x:v>
      </x:c>
      <x:c r="E5" s="45" t="n">
        <x:v>0.75</x:v>
      </x:c>
      <x:c r="F5" s="37" t="str">
        <x:v>Key reading material exists, but summaries and synthesis still need to be formalised.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ht="24" hidden="0" customHeight="1">
      <x:c r="A6" s="37" t="str">
        <x:v>Data inventory and scene coverage understood</x:v>
      </x:c>
      <x:c r="B6" s="37" t="str">
        <x:v>Data &amp; imagery</x:v>
      </x:c>
      <x:c r="C6" s="44"/>
      <x:c r="D6" s="37" t="str">
        <x:v>In progress</x:v>
      </x:c>
      <x:c r="E6" s="45" t="n">
        <x:v>0.7</x:v>
      </x:c>
      <x:c r="F6" s="37" t="str">
        <x:v>Most of the relevant data sources are known, but some scene and acquisition gaps remain.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 ht="24" hidden="0" customHeight="1">
      <x:c r="A7" s="37" t="str">
        <x:v>Observation records and labels cleaned up</x:v>
      </x:c>
      <x:c r="B7" s="37" t="str">
        <x:v>Fieldwork &amp; ground truthing</x:v>
      </x:c>
      <x:c r="C7" s="44"/>
      <x:c r="D7" s="37" t="str">
        <x:v>In progress</x:v>
      </x:c>
      <x:c r="E7" s="46" t="n">
        <x:v>0.65</x:v>
      </x:c>
      <x:c r="F7" s="37" t="str">
        <x:v>Ground-truth and label assets exist, but consistency checks are still needed.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ht="24" hidden="0" customHeight="1">
      <x:c r="A8" s="37" t="str">
        <x:v>Pilot SAR processing workflow proven</x:v>
      </x:c>
      <x:c r="B8" s="37" t="str">
        <x:v>Methodology &amp; modelling</x:v>
      </x:c>
      <x:c r="C8" s="44"/>
      <x:c r="D8" s="37" t="str">
        <x:v>Complete</x:v>
      </x:c>
      <x:c r="E8" s="45" t="n">
        <x:v>0.95</x:v>
      </x:c>
      <x:c r="F8" s="37" t="str">
        <x:v>Representative scenes have already been processed successfully and can anchor the next phase.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 ht="24" hidden="0" customHeight="1">
      <x:c r="A9" s="37" t="str">
        <x:v>Broader processing and baseline experiments underway</x:v>
      </x:c>
      <x:c r="B9" s="37" t="str">
        <x:v>Methodology &amp; modelling</x:v>
      </x:c>
      <x:c r="C9" s="44"/>
      <x:c r="D9" s="37" t="str">
        <x:v>In progress</x:v>
      </x:c>
      <x:c r="E9" s="45" t="n">
        <x:v>0.6</x:v>
      </x:c>
      <x:c r="F9" s="37" t="str">
        <x:v>The pipeline exists, but it still needs to be extended and used consistently across more cases.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</x:row>
    <x:row r="10" ht="24" hidden="0" customHeight="1">
      <x:c r="A10" s="37" t="str">
        <x:v>Initial analysis findings documented</x:v>
      </x:c>
      <x:c r="B10" s="37" t="str">
        <x:v>Analysis &amp; validation</x:v>
      </x:c>
      <x:c r="C10" s="44"/>
      <x:c r="D10" s="37" t="str">
        <x:v>In progress</x:v>
      </x:c>
      <x:c r="E10" s="45" t="n">
        <x:v>0.55</x:v>
      </x:c>
      <x:c r="F10" s="37" t="str">
        <x:v>Several useful outputs exist, but the findings are not yet fully written up in a coherent way.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 ht="24" hidden="0" customHeight="1">
      <x:c r="A11" s="37" t="str">
        <x:v>Thesis writing pack and supervisor review material assembled</x:v>
      </x:c>
      <x:c r="B11" s="37" t="str">
        <x:v>Thesis writing &amp; outputs</x:v>
      </x:c>
      <x:c r="C11" s="44"/>
      <x:c r="D11" s="37" t="str">
        <x:v>In progress</x:v>
      </x:c>
      <x:c r="E11" s="45" t="n">
        <x:v>0.45</x:v>
      </x:c>
      <x:c r="F11" s="37" t="str">
        <x:v>There is enough material to start packaging drafts, figures, and review notes more deliberately.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</x:row>
    <x:row r="12">
      <x:c r="A12" s="26"/>
      <x:c r="B12" s="26"/>
      <x:c r="C12" s="32"/>
      <x:c r="D12" s="26"/>
      <x:c r="E12" s="33"/>
      <x:c r="F12" s="26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</x:row>
    <x:row r="13">
      <x:c r="A13" s="26"/>
      <x:c r="B13" s="26"/>
      <x:c r="C13" s="32"/>
      <x:c r="D13" s="26"/>
      <x:c r="E13" s="33"/>
      <x:c r="F13" s="26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>
      <x:c r="A14" s="26"/>
      <x:c r="B14" s="26"/>
      <x:c r="C14" s="32"/>
      <x:c r="D14" s="26"/>
      <x:c r="E14" s="33"/>
      <x:c r="F14" s="26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>
      <x:c r="A15" s="26"/>
      <x:c r="B15" s="26"/>
      <x:c r="C15" s="32"/>
      <x:c r="D15" s="26"/>
      <x:c r="E15" s="33"/>
      <x:c r="F15" s="26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>
      <x:c r="A16" s="26"/>
      <x:c r="B16" s="26"/>
      <x:c r="C16" s="32"/>
      <x:c r="D16" s="26"/>
      <x:c r="E16" s="33"/>
      <x:c r="F16" s="26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</x:row>
    <x:row r="17">
      <x:c r="A17" s="26"/>
      <x:c r="B17" s="26"/>
      <x:c r="C17" s="32"/>
      <x:c r="D17" s="26"/>
      <x:c r="E17" s="33"/>
      <x:c r="F17" s="26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>
      <x:c r="A18" s="26"/>
      <x:c r="B18" s="26"/>
      <x:c r="C18" s="32"/>
      <x:c r="D18" s="26"/>
      <x:c r="E18" s="33"/>
      <x:c r="F18" s="26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>
      <x:c r="A19" s="26"/>
      <x:c r="B19" s="26"/>
      <x:c r="C19" s="32"/>
      <x:c r="D19" s="26"/>
      <x:c r="E19" s="33"/>
      <x:c r="F19" s="26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>
      <x:c r="A20" s="26"/>
      <x:c r="B20" s="26"/>
      <x:c r="C20" s="32"/>
      <x:c r="D20" s="26"/>
      <x:c r="E20" s="33"/>
      <x:c r="F20" s="26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 ht="15.75" customHeight="1">
      <x:c r="A21" s="26"/>
      <x:c r="B21" s="26"/>
      <x:c r="C21" s="32"/>
      <x:c r="D21" s="26"/>
      <x:c r="E21" s="33"/>
      <x:c r="F21" s="26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 ht="15.75" customHeight="1">
      <x:c r="A22" s="26"/>
      <x:c r="B22" s="26"/>
      <x:c r="C22" s="32"/>
      <x:c r="D22" s="26"/>
      <x:c r="E22" s="33"/>
      <x:c r="F22" s="26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</x:row>
    <x:row r="23" ht="15.75" customHeight="1">
      <x:c r="A23" s="26"/>
      <x:c r="B23" s="26"/>
      <x:c r="C23" s="32"/>
      <x:c r="D23" s="26"/>
      <x:c r="E23" s="33"/>
      <x:c r="F23" s="26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 ht="15.75" customHeight="1">
      <x:c r="A24" s="26"/>
      <x:c r="B24" s="26"/>
      <x:c r="C24" s="32"/>
      <x:c r="D24" s="26"/>
      <x:c r="E24" s="33"/>
      <x:c r="F24" s="26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 ht="15.75" customHeight="1">
      <x:c r="A25" s="26"/>
      <x:c r="B25" s="26"/>
      <x:c r="C25" s="32"/>
      <x:c r="D25" s="26"/>
      <x:c r="E25" s="33"/>
      <x:c r="F25" s="26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 ht="15.75" customHeight="1">
      <x:c r="A26" s="26"/>
      <x:c r="B26" s="26"/>
      <x:c r="C26" s="32"/>
      <x:c r="D26" s="26"/>
      <x:c r="E26" s="33"/>
      <x:c r="F26" s="26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 ht="15.75" customHeight="1">
      <x:c r="A27" s="26"/>
      <x:c r="B27" s="26"/>
      <x:c r="C27" s="32"/>
      <x:c r="D27" s="26"/>
      <x:c r="E27" s="33"/>
      <x:c r="F27" s="26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 ht="15.75" customHeight="1">
      <x:c r="A28" s="26"/>
      <x:c r="B28" s="26"/>
      <x:c r="C28" s="32"/>
      <x:c r="D28" s="26"/>
      <x:c r="E28" s="33"/>
      <x:c r="F28" s="26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 ht="15.75" customHeight="1">
      <x:c r="A29" s="26"/>
      <x:c r="B29" s="26"/>
      <x:c r="C29" s="32"/>
      <x:c r="D29" s="26"/>
      <x:c r="E29" s="33"/>
      <x:c r="F29" s="26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</x:row>
    <x:row r="30" ht="15.75" customHeight="1">
      <x:c r="A30" s="26"/>
      <x:c r="B30" s="26"/>
      <x:c r="C30" s="32"/>
      <x:c r="D30" s="26"/>
      <x:c r="E30" s="33"/>
      <x:c r="F30" s="26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 ht="15.75" customHeight="1">
      <x:c r="A31" s="26"/>
      <x:c r="B31" s="26"/>
      <x:c r="C31" s="32"/>
      <x:c r="D31" s="26"/>
      <x:c r="E31" s="33"/>
      <x:c r="F31" s="26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 ht="15.75" customHeight="1">
      <x:c r="A32" s="26"/>
      <x:c r="B32" s="26"/>
      <x:c r="C32" s="32"/>
      <x:c r="D32" s="26"/>
      <x:c r="E32" s="33"/>
      <x:c r="F32" s="26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 ht="15.75" customHeight="1">
      <x:c r="A33" s="26"/>
      <x:c r="B33" s="26"/>
      <x:c r="C33" s="32"/>
      <x:c r="D33" s="26"/>
      <x:c r="E33" s="33"/>
      <x:c r="F33" s="26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 ht="15.75" customHeight="1">
      <x:c r="A34" s="26"/>
      <x:c r="B34" s="26"/>
      <x:c r="C34" s="32"/>
      <x:c r="D34" s="26"/>
      <x:c r="E34" s="33"/>
      <x:c r="F34" s="26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 ht="15.75" customHeight="1">
      <x:c r="A35" s="26"/>
      <x:c r="B35" s="26"/>
      <x:c r="C35" s="32"/>
      <x:c r="D35" s="26"/>
      <x:c r="E35" s="33"/>
      <x:c r="F35" s="26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 ht="15.75" customHeight="1">
      <x:c r="A36" s="26"/>
      <x:c r="B36" s="26"/>
      <x:c r="C36" s="32"/>
      <x:c r="D36" s="26"/>
      <x:c r="E36" s="33"/>
      <x:c r="F36" s="26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 ht="15.75" customHeight="1">
      <x:c r="A37" s="26"/>
      <x:c r="B37" s="26"/>
      <x:c r="C37" s="32"/>
      <x:c r="D37" s="26"/>
      <x:c r="E37" s="33"/>
      <x:c r="F37" s="26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 ht="15.75" customHeight="1">
      <x:c r="A38" s="26"/>
      <x:c r="B38" s="26"/>
      <x:c r="C38" s="32"/>
      <x:c r="D38" s="26"/>
      <x:c r="E38" s="33"/>
      <x:c r="F38" s="26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 ht="15.75" customHeight="1">
      <x:c r="A39" s="26"/>
      <x:c r="B39" s="26"/>
      <x:c r="C39" s="32"/>
      <x:c r="D39" s="26"/>
      <x:c r="E39" s="33"/>
      <x:c r="F39" s="26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 ht="15.75" customHeight="1">
      <x:c r="A40" s="26"/>
      <x:c r="B40" s="26"/>
      <x:c r="C40" s="32"/>
      <x:c r="D40" s="26"/>
      <x:c r="E40" s="33"/>
      <x:c r="F40" s="26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 ht="15.75" customHeight="1">
      <x:c r="A41" s="26"/>
      <x:c r="B41" s="26"/>
      <x:c r="C41" s="32"/>
      <x:c r="D41" s="26"/>
      <x:c r="E41" s="33"/>
      <x:c r="F41" s="26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 ht="15.75" customHeight="1">
      <x:c r="A42" s="26"/>
      <x:c r="B42" s="26"/>
      <x:c r="C42" s="32"/>
      <x:c r="D42" s="26"/>
      <x:c r="E42" s="33"/>
      <x:c r="F42" s="26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 ht="15.75" customHeight="1">
      <x:c r="A43" s="26"/>
      <x:c r="B43" s="26"/>
      <x:c r="C43" s="32"/>
      <x:c r="D43" s="26"/>
      <x:c r="E43" s="33"/>
      <x:c r="F43" s="26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 ht="15.75" customHeight="1">
      <x:c r="A44" s="26"/>
      <x:c r="B44" s="26"/>
      <x:c r="C44" s="32"/>
      <x:c r="D44" s="26"/>
      <x:c r="E44" s="33"/>
      <x:c r="F44" s="26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 ht="15.75" customHeight="1">
      <x:c r="A45" s="26"/>
      <x:c r="B45" s="26"/>
      <x:c r="C45" s="32"/>
      <x:c r="D45" s="26"/>
      <x:c r="E45" s="33"/>
      <x:c r="F45" s="26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  <x:row r="46" ht="15.75" customHeight="1">
      <x:c r="A46" s="26"/>
      <x:c r="B46" s="26"/>
      <x:c r="C46" s="32"/>
      <x:c r="D46" s="26"/>
      <x:c r="E46" s="33"/>
      <x:c r="F46" s="26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</x:row>
    <x:row r="47" ht="15.75" customHeight="1">
      <x:c r="A47" s="26"/>
      <x:c r="B47" s="26"/>
      <x:c r="C47" s="32"/>
      <x:c r="D47" s="26"/>
      <x:c r="E47" s="33"/>
      <x:c r="F47" s="26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 ht="15.75" customHeight="1">
      <x:c r="A48" s="26"/>
      <x:c r="B48" s="26"/>
      <x:c r="C48" s="32"/>
      <x:c r="D48" s="26"/>
      <x:c r="E48" s="33"/>
      <x:c r="F48" s="26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 ht="15.75" customHeight="1">
      <x:c r="A49" s="26"/>
      <x:c r="B49" s="26"/>
      <x:c r="C49" s="32"/>
      <x:c r="D49" s="26"/>
      <x:c r="E49" s="33"/>
      <x:c r="F49" s="26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 ht="15.75" customHeight="1">
      <x:c r="A50" s="26"/>
      <x:c r="B50" s="26"/>
      <x:c r="C50" s="32"/>
      <x:c r="D50" s="26"/>
      <x:c r="E50" s="33"/>
      <x:c r="F50" s="26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 ht="15.75" customHeight="1">
      <x:c r="A51" s="26"/>
      <x:c r="B51" s="26"/>
      <x:c r="C51" s="32"/>
      <x:c r="D51" s="26"/>
      <x:c r="E51" s="33"/>
      <x:c r="F51" s="26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 ht="15.75" customHeight="1">
      <x:c r="A52" s="26"/>
      <x:c r="B52" s="26"/>
      <x:c r="C52" s="32"/>
      <x:c r="D52" s="26"/>
      <x:c r="E52" s="33"/>
      <x:c r="F52" s="26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 ht="15.75" customHeight="1">
      <x:c r="A53" s="26"/>
      <x:c r="B53" s="26"/>
      <x:c r="C53" s="32"/>
      <x:c r="D53" s="26"/>
      <x:c r="E53" s="33"/>
      <x:c r="F53" s="26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 ht="15.75" customHeight="1">
      <x:c r="A54" s="26"/>
      <x:c r="B54" s="26"/>
      <x:c r="C54" s="32"/>
      <x:c r="D54" s="26"/>
      <x:c r="E54" s="33"/>
      <x:c r="F54" s="26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 ht="15.75" customHeight="1">
      <x:c r="A55" s="26"/>
      <x:c r="B55" s="26"/>
      <x:c r="C55" s="32"/>
      <x:c r="D55" s="26"/>
      <x:c r="E55" s="33"/>
      <x:c r="F55" s="26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 ht="15.75" customHeight="1">
      <x:c r="A56" s="26"/>
      <x:c r="B56" s="26"/>
      <x:c r="C56" s="32"/>
      <x:c r="D56" s="26"/>
      <x:c r="E56" s="33"/>
      <x:c r="F56" s="26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 ht="15.75" customHeight="1">
      <x:c r="A57" s="26"/>
      <x:c r="B57" s="26"/>
      <x:c r="C57" s="32"/>
      <x:c r="D57" s="26"/>
      <x:c r="E57" s="33"/>
      <x:c r="F57" s="26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 ht="15.75" customHeight="1">
      <x:c r="A58" s="26"/>
      <x:c r="B58" s="26"/>
      <x:c r="C58" s="32"/>
      <x:c r="D58" s="26"/>
      <x:c r="E58" s="33"/>
      <x:c r="F58" s="26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 ht="15.75" customHeight="1">
      <x:c r="A59" s="26"/>
      <x:c r="B59" s="26"/>
      <x:c r="C59" s="32"/>
      <x:c r="D59" s="26"/>
      <x:c r="E59" s="33"/>
      <x:c r="F59" s="26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 ht="15.75" customHeight="1">
      <x:c r="A60" s="26"/>
      <x:c r="B60" s="26"/>
      <x:c r="C60" s="32"/>
      <x:c r="D60" s="26"/>
      <x:c r="E60" s="33"/>
      <x:c r="F60" s="26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 ht="15.75" customHeight="1">
      <x:c r="A61" s="26"/>
      <x:c r="B61" s="26"/>
      <x:c r="C61" s="32"/>
      <x:c r="D61" s="26"/>
      <x:c r="E61" s="33"/>
      <x:c r="F61" s="26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 ht="15.75" customHeight="1">
      <x:c r="A62" s="26"/>
      <x:c r="B62" s="26"/>
      <x:c r="C62" s="32"/>
      <x:c r="D62" s="26"/>
      <x:c r="E62" s="33"/>
      <x:c r="F62" s="26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 ht="15.75" customHeight="1">
      <x:c r="A63" s="26"/>
      <x:c r="B63" s="26"/>
      <x:c r="C63" s="32"/>
      <x:c r="D63" s="26"/>
      <x:c r="E63" s="33"/>
      <x:c r="F63" s="26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 ht="15.75" customHeight="1">
      <x:c r="A64" s="26"/>
      <x:c r="B64" s="26"/>
      <x:c r="C64" s="32"/>
      <x:c r="D64" s="26"/>
      <x:c r="E64" s="33"/>
      <x:c r="F64" s="26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 ht="15.75" customHeight="1">
      <x:c r="A65" s="26"/>
      <x:c r="B65" s="26"/>
      <x:c r="C65" s="32"/>
      <x:c r="D65" s="26"/>
      <x:c r="E65" s="33"/>
      <x:c r="F65" s="26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</x:row>
    <x:row r="66" ht="15.75" customHeight="1">
      <x:c r="A66" s="26"/>
      <x:c r="B66" s="26"/>
      <x:c r="C66" s="32"/>
      <x:c r="D66" s="26"/>
      <x:c r="E66" s="33"/>
      <x:c r="F66" s="26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 ht="15.75" customHeight="1">
      <x:c r="A67" s="26"/>
      <x:c r="B67" s="26"/>
      <x:c r="C67" s="32"/>
      <x:c r="D67" s="26"/>
      <x:c r="E67" s="33"/>
      <x:c r="F67" s="26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 ht="15.75" customHeight="1">
      <x:c r="A68" s="26"/>
      <x:c r="B68" s="26"/>
      <x:c r="C68" s="32"/>
      <x:c r="D68" s="26"/>
      <x:c r="E68" s="33"/>
      <x:c r="F68" s="26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 ht="15.75" customHeight="1">
      <x:c r="A69" s="26"/>
      <x:c r="B69" s="26"/>
      <x:c r="C69" s="32"/>
      <x:c r="D69" s="26"/>
      <x:c r="E69" s="33"/>
      <x:c r="F69" s="26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 ht="15.75" customHeight="1">
      <x:c r="A70" s="26"/>
      <x:c r="B70" s="26"/>
      <x:c r="C70" s="32"/>
      <x:c r="D70" s="26"/>
      <x:c r="E70" s="33"/>
      <x:c r="F70" s="26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 ht="15.75" customHeight="1">
      <x:c r="A71" s="26"/>
      <x:c r="B71" s="26"/>
      <x:c r="C71" s="32"/>
      <x:c r="D71" s="26"/>
      <x:c r="E71" s="33"/>
      <x:c r="F71" s="26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 ht="15.75" customHeight="1">
      <x:c r="A72" s="26"/>
      <x:c r="B72" s="26"/>
      <x:c r="C72" s="32"/>
      <x:c r="D72" s="26"/>
      <x:c r="E72" s="33"/>
      <x:c r="F72" s="26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 ht="15.75" customHeight="1">
      <x:c r="A73" s="26"/>
      <x:c r="B73" s="26"/>
      <x:c r="C73" s="32"/>
      <x:c r="D73" s="26"/>
      <x:c r="E73" s="33"/>
      <x:c r="F73" s="26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 ht="15.75" customHeight="1">
      <x:c r="A74" s="26"/>
      <x:c r="B74" s="26"/>
      <x:c r="C74" s="32"/>
      <x:c r="D74" s="26"/>
      <x:c r="E74" s="33"/>
      <x:c r="F74" s="26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  <x:row r="75" ht="15.75" customHeight="1">
      <x:c r="A75" s="26"/>
      <x:c r="B75" s="26"/>
      <x:c r="C75" s="32"/>
      <x:c r="D75" s="26"/>
      <x:c r="E75" s="33"/>
      <x:c r="F75" s="26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</x:row>
    <x:row r="76" ht="15.75" customHeight="1">
      <x:c r="A76" s="26"/>
      <x:c r="B76" s="26"/>
      <x:c r="C76" s="32"/>
      <x:c r="D76" s="26"/>
      <x:c r="E76" s="33"/>
      <x:c r="F76" s="26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</x:row>
    <x:row r="77" ht="15.75" customHeight="1">
      <x:c r="A77" s="26"/>
      <x:c r="B77" s="26"/>
      <x:c r="C77" s="32"/>
      <x:c r="D77" s="26"/>
      <x:c r="E77" s="33"/>
      <x:c r="F77" s="26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</x:row>
    <x:row r="78" ht="15.75" customHeight="1">
      <x:c r="A78" s="26"/>
      <x:c r="B78" s="26"/>
      <x:c r="C78" s="32"/>
      <x:c r="D78" s="26"/>
      <x:c r="E78" s="33"/>
      <x:c r="F78" s="26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</x:row>
    <x:row r="79" ht="15.75" customHeight="1">
      <x:c r="A79" s="26"/>
      <x:c r="B79" s="26"/>
      <x:c r="C79" s="32"/>
      <x:c r="D79" s="26"/>
      <x:c r="E79" s="33"/>
      <x:c r="F79" s="26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</x:row>
    <x:row r="80" ht="15.75" customHeight="1">
      <x:c r="A80" s="26"/>
      <x:c r="B80" s="26"/>
      <x:c r="C80" s="32"/>
      <x:c r="D80" s="26"/>
      <x:c r="E80" s="33"/>
      <x:c r="F80" s="26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</x:row>
    <x:row r="81" ht="15.75" customHeight="1">
      <x:c r="A81" s="26"/>
      <x:c r="B81" s="26"/>
      <x:c r="C81" s="32"/>
      <x:c r="D81" s="26"/>
      <x:c r="E81" s="33"/>
      <x:c r="F81" s="26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</x:row>
    <x:row r="82" ht="15.75" customHeight="1">
      <x:c r="A82" s="26"/>
      <x:c r="B82" s="26"/>
      <x:c r="C82" s="32"/>
      <x:c r="D82" s="26"/>
      <x:c r="E82" s="33"/>
      <x:c r="F82" s="26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</x:row>
    <x:row r="83" ht="15.75" customHeight="1">
      <x:c r="A83" s="26"/>
      <x:c r="B83" s="26"/>
      <x:c r="C83" s="32"/>
      <x:c r="D83" s="26"/>
      <x:c r="E83" s="33"/>
      <x:c r="F83" s="26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</x:row>
    <x:row r="84" ht="15.75" customHeight="1">
      <x:c r="A84" s="26"/>
      <x:c r="B84" s="26"/>
      <x:c r="C84" s="32"/>
      <x:c r="D84" s="26"/>
      <x:c r="E84" s="33"/>
      <x:c r="F84" s="26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</x:row>
    <x:row r="85" ht="15.75" customHeight="1">
      <x:c r="A85" s="26"/>
      <x:c r="B85" s="26"/>
      <x:c r="C85" s="32"/>
      <x:c r="D85" s="26"/>
      <x:c r="E85" s="33"/>
      <x:c r="F85" s="26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</x:row>
    <x:row r="86" ht="15.75" customHeight="1">
      <x:c r="A86" s="26"/>
      <x:c r="B86" s="26"/>
      <x:c r="C86" s="32"/>
      <x:c r="D86" s="26"/>
      <x:c r="E86" s="33"/>
      <x:c r="F86" s="26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</x:row>
    <x:row r="87" ht="15.75" customHeight="1">
      <x:c r="A87" s="26"/>
      <x:c r="B87" s="26"/>
      <x:c r="C87" s="32"/>
      <x:c r="D87" s="26"/>
      <x:c r="E87" s="33"/>
      <x:c r="F87" s="26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</x:row>
    <x:row r="88" ht="15.75" customHeight="1">
      <x:c r="A88" s="26"/>
      <x:c r="B88" s="26"/>
      <x:c r="C88" s="32"/>
      <x:c r="D88" s="26"/>
      <x:c r="E88" s="33"/>
      <x:c r="F88" s="26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</x:row>
    <x:row r="89" ht="15.75" customHeight="1">
      <x:c r="A89" s="26"/>
      <x:c r="B89" s="26"/>
      <x:c r="C89" s="32"/>
      <x:c r="D89" s="26"/>
      <x:c r="E89" s="33"/>
      <x:c r="F89" s="26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</x:row>
    <x:row r="90" ht="15.75" customHeight="1">
      <x:c r="A90" s="26"/>
      <x:c r="B90" s="26"/>
      <x:c r="C90" s="32"/>
      <x:c r="D90" s="26"/>
      <x:c r="E90" s="33"/>
      <x:c r="F90" s="26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</x:row>
    <x:row r="91" ht="15.75" customHeight="1">
      <x:c r="A91" s="26"/>
      <x:c r="B91" s="26"/>
      <x:c r="C91" s="32"/>
      <x:c r="D91" s="26"/>
      <x:c r="E91" s="33"/>
      <x:c r="F91" s="26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</x:row>
    <x:row r="92" ht="15.75" customHeight="1">
      <x:c r="A92" s="26"/>
      <x:c r="B92" s="26"/>
      <x:c r="C92" s="32"/>
      <x:c r="D92" s="26"/>
      <x:c r="E92" s="33"/>
      <x:c r="F92" s="26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</x:row>
    <x:row r="93" ht="15.75" customHeight="1">
      <x:c r="A93" s="26"/>
      <x:c r="B93" s="26"/>
      <x:c r="C93" s="32"/>
      <x:c r="D93" s="26"/>
      <x:c r="E93" s="33"/>
      <x:c r="F93" s="26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</x:row>
    <x:row r="94" ht="15.75" customHeight="1">
      <x:c r="A94" s="26"/>
      <x:c r="B94" s="26"/>
      <x:c r="C94" s="32"/>
      <x:c r="D94" s="26"/>
      <x:c r="E94" s="33"/>
      <x:c r="F94" s="26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</x:row>
    <x:row r="95" ht="15.75" customHeight="1">
      <x:c r="A95" s="26"/>
      <x:c r="B95" s="26"/>
      <x:c r="C95" s="32"/>
      <x:c r="D95" s="26"/>
      <x:c r="E95" s="33"/>
      <x:c r="F95" s="26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</x:row>
    <x:row r="96" ht="15.75" customHeight="1">
      <x:c r="A96" s="26"/>
      <x:c r="B96" s="26"/>
      <x:c r="C96" s="32"/>
      <x:c r="D96" s="26"/>
      <x:c r="E96" s="33"/>
      <x:c r="F96" s="26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</x:row>
    <x:row r="97" ht="15.75" customHeight="1">
      <x:c r="A97" s="26"/>
      <x:c r="B97" s="26"/>
      <x:c r="C97" s="32"/>
      <x:c r="D97" s="26"/>
      <x:c r="E97" s="33"/>
      <x:c r="F97" s="26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</x:row>
    <x:row r="98" ht="15.75" customHeight="1">
      <x:c r="A98" s="26"/>
      <x:c r="B98" s="26"/>
      <x:c r="C98" s="32"/>
      <x:c r="D98" s="26"/>
      <x:c r="E98" s="33"/>
      <x:c r="F98" s="26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</x:row>
    <x:row r="99" ht="15.75" customHeight="1">
      <x:c r="A99" s="26"/>
      <x:c r="B99" s="26"/>
      <x:c r="C99" s="32"/>
      <x:c r="D99" s="26"/>
      <x:c r="E99" s="33"/>
      <x:c r="F99" s="26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</x:row>
    <x:row r="100" ht="15.75" customHeight="1">
      <x:c r="A100" s="26"/>
      <x:c r="B100" s="26"/>
      <x:c r="C100" s="32"/>
      <x:c r="D100" s="26"/>
      <x:c r="E100" s="33"/>
      <x:c r="F100" s="26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</x:row>
    <x:row r="101" ht="15.75" customHeight="1">
      <x:c r="A101" s="26"/>
      <x:c r="B101" s="26"/>
      <x:c r="C101" s="32"/>
      <x:c r="D101" s="26"/>
      <x:c r="E101" s="33"/>
      <x:c r="F101" s="26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</x:row>
    <x:row r="102" ht="15.75" customHeight="1">
      <x:c r="A102" s="26"/>
      <x:c r="B102" s="26"/>
      <x:c r="C102" s="32"/>
      <x:c r="D102" s="26"/>
      <x:c r="E102" s="33"/>
      <x:c r="F102" s="26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</x:row>
    <x:row r="103" ht="15.75" customHeight="1">
      <x:c r="A103" s="26"/>
      <x:c r="B103" s="26"/>
      <x:c r="C103" s="32"/>
      <x:c r="D103" s="26"/>
      <x:c r="E103" s="33"/>
      <x:c r="F103" s="26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</x:row>
    <x:row r="104" ht="15.75" customHeight="1">
      <x:c r="A104" s="26"/>
      <x:c r="B104" s="26"/>
      <x:c r="C104" s="32"/>
      <x:c r="D104" s="26"/>
      <x:c r="E104" s="33"/>
      <x:c r="F104" s="26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</x:row>
    <x:row r="105" ht="15.75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</x:row>
    <x:row r="106" ht="15.75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</x:row>
    <x:row r="107" ht="15.75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</x:row>
    <x:row r="108" ht="15.7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</x:row>
    <x:row r="109" ht="15.7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</x:row>
    <x:row r="110" ht="15.75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</x:row>
    <x:row r="111" ht="15.75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</x:row>
    <x:row r="112" ht="15.75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</x:row>
    <x:row r="113" ht="15.75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</x:row>
    <x:row r="114" ht="15.7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</x:row>
    <x:row r="115" ht="15.7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</x:row>
    <x:row r="116" ht="15.75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</x:row>
    <x:row r="117" ht="15.75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</x:row>
    <x:row r="118" ht="15.75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</x:row>
    <x:row r="119" ht="15.75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</x:row>
    <x:row r="120" ht="15.75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</x:row>
    <x:row r="121" ht="15.75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</x:row>
    <x:row r="122" ht="15.75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</x:row>
    <x:row r="123" ht="15.75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</x:row>
    <x:row r="124" ht="15.75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</x:row>
    <x:row r="125" ht="15.75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</x:row>
    <x:row r="126" ht="15.75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</x:row>
    <x:row r="127" ht="15.75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</x:row>
    <x:row r="128" ht="15.75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</x:row>
    <x:row r="129" ht="15.75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</x:row>
    <x:row r="130" ht="15.75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</x:row>
    <x:row r="131" ht="15.75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</x:row>
    <x:row r="132" ht="15.75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</x:row>
    <x:row r="133" ht="15.75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</x:row>
    <x:row r="134" ht="15.75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</x:row>
    <x:row r="135" ht="15.75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</x:row>
    <x:row r="136" ht="15.75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</x:row>
    <x:row r="137" ht="15.75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</x:row>
    <x:row r="138" ht="15.75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</x:row>
    <x:row r="139" ht="15.75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</x:row>
    <x:row r="140" ht="15.75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</x:row>
    <x:row r="141" ht="15.75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</x:row>
    <x:row r="142" ht="15.75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</x:row>
    <x:row r="143" ht="15.75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</x:row>
    <x:row r="144" ht="15.75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</x:row>
    <x:row r="145" ht="15.75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</x:row>
    <x:row r="146" ht="15.75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</x:row>
    <x:row r="147" ht="15.75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</x:row>
    <x:row r="148" ht="15.75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</x:row>
    <x:row r="149" ht="15.75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</x:row>
    <x:row r="150" ht="15.75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</x:row>
    <x:row r="151" ht="15.75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</x:row>
    <x:row r="152" ht="15.75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</x:row>
    <x:row r="153" ht="15.75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</x:row>
    <x:row r="154" ht="15.75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</x:row>
    <x:row r="155" ht="15.75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</x:row>
    <x:row r="156" ht="15.75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</x:row>
    <x:row r="157" ht="15.75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</x:row>
    <x:row r="158" ht="15.75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</x:row>
    <x:row r="159" ht="15.75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</x:row>
    <x:row r="160" ht="15.75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</x:row>
    <x:row r="161" ht="15.75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</x:row>
    <x:row r="162" ht="15.75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</x:row>
    <x:row r="163" ht="15.75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</x:row>
    <x:row r="164" ht="15.75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</x:row>
    <x:row r="165" ht="15.75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</x:row>
    <x:row r="166" ht="15.75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</x:row>
    <x:row r="167" ht="15.75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</x:row>
    <x:row r="168" ht="15.75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</x:row>
    <x:row r="169" ht="15.75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</x:row>
    <x:row r="170" ht="15.75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</x:row>
    <x:row r="171" ht="15.75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</x:row>
    <x:row r="172" ht="15.75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</x:row>
    <x:row r="173" ht="15.75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</x:row>
    <x:row r="174" ht="15.75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</x:row>
    <x:row r="175" ht="15.75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</x:row>
    <x:row r="176" ht="15.75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</x:row>
    <x:row r="177" ht="15.75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</x:row>
    <x:row r="178" ht="15.75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</x:row>
    <x:row r="179" ht="15.75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</x:row>
    <x:row r="180" ht="15.75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</x:row>
    <x:row r="181" ht="15.75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</x:row>
    <x:row r="182" ht="15.75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</x:row>
    <x:row r="183" ht="15.75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</x:row>
    <x:row r="184" ht="15.75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</x:row>
    <x:row r="185" ht="15.75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</x:row>
    <x:row r="186" ht="15.75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</x:row>
    <x:row r="187" ht="15.75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</x:row>
    <x:row r="188" ht="15.75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</x:row>
    <x:row r="189" ht="15.75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</x:row>
    <x:row r="190" ht="15.75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</x:row>
    <x:row r="191" ht="15.75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</x:row>
    <x:row r="192" ht="15.75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</x:row>
    <x:row r="193" ht="15.75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</x:row>
    <x:row r="194" ht="15.75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</x:row>
    <x:row r="195" ht="15.75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</x:row>
    <x:row r="196" ht="15.75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</x:row>
    <x:row r="197" ht="15.75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</x:row>
    <x:row r="198" ht="15.75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</x:row>
    <x:row r="199" ht="15.75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</x:row>
    <x:row r="200" ht="15.75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</x:row>
    <x:row r="201" ht="15.75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</x:row>
    <x:row r="202" ht="15.75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</x:row>
    <x:row r="203" ht="15.75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</x:row>
    <x:row r="204" ht="15.75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</x:row>
    <x:row r="205" ht="15.75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</x:row>
    <x:row r="206" ht="15.75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</x:row>
    <x:row r="207" ht="15.75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</x:row>
    <x:row r="208" ht="15.75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</x:row>
    <x:row r="209" ht="15.75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</x:row>
    <x:row r="210" ht="15.75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</x:row>
    <x:row r="211" ht="15.75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</x:row>
    <x:row r="212" ht="15.75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</x:row>
    <x:row r="213" ht="15.75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</x:row>
    <x:row r="214" ht="15.75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</x:row>
    <x:row r="215" ht="15.75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</x:row>
    <x:row r="216" ht="15.75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</x:row>
    <x:row r="217" ht="15.75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</x:row>
    <x:row r="218" ht="15.75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</x:row>
    <x:row r="219" ht="15.75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</x:row>
    <x:row r="220" ht="15.75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</x:row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F1"/>
  </x:mergeCells>
  <x:conditionalFormatting sqref="D4:D104">
    <x:cfRule type="expression" dxfId="5" priority="1">
      <x:formula>D4="Complete"</x:formula>
    </x:cfRule>
  </x:conditionalFormatting>
  <x:conditionalFormatting sqref="D4:D104">
    <x:cfRule type="expression" dxfId="6" priority="2">
      <x:formula>D4="Waiting for supervisor review"</x:formula>
    </x:cfRule>
  </x:conditionalFormatting>
  <x:conditionalFormatting sqref="C4:C104">
    <x:cfRule type="expression" dxfId="0" priority="3">
      <x:formula>AND(C4&lt;TODAY(),D4&lt;&gt;"Complete",A4&lt;&gt;"")</x:formula>
    </x:cfRule>
  </x:conditionalFormatting>
  <x:dataValidations count="2">
    <x:dataValidation type="list" allowBlank="1" sqref="D4:D104">
      <x:formula1>"Not started,In progress,Waiting for supervisor review,Blocked,Complete,Deferred"</x:formula1>
    </x:dataValidation>
    <x:dataValidation type="list" allowBlank="1" sqref="B4:B104">
      <x:formula1>"Literature review,Data &amp; imagery,Fieldwork &amp; ground truthing,Methodology &amp; modelling,Analysis &amp; validation,Thesis writing &amp; outputs,Admin &amp; meetings"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ed5df2db8b48d7"/>
  </x:tableParts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15" customWidth="1"/>
    <x:col min="2" max="2" width="32" customWidth="1"/>
    <x:col min="3" max="4" width="40" customWidth="1"/>
    <x:col min="5" max="5" width="15" customWidth="1"/>
    <x:col min="6" max="6" width="24" customWidth="1"/>
    <x:col min="7" max="7" width="30" customWidth="1"/>
    <x:col min="8" max="23" width="8.630000114440918" customWidth="1"/>
  </x:cols>
  <x:sheetData>
    <x:row r="1" ht="27.75" customHeight="1">
      <x:c r="A1" s="22" t="s">
        <x:v>40</x:v>
      </x:c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27.75" customHeight="1">
      <x:c r="A2" s="35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3.75" customHeight="1">
      <x:c r="A4" s="24" t="s">
        <x:v>41</x:v>
      </x:c>
      <x:c r="B4" s="24" t="s">
        <x:v>42</x:v>
      </x:c>
      <x:c r="C4" s="30" t="s">
        <x:v>39</x:v>
      </x:c>
      <x:c r="D4" s="24" t="s">
        <x:v>43</x:v>
      </x:c>
      <x:c r="E4" s="24" t="s">
        <x:v>32</x:v>
      </x:c>
      <x:c r="F4" s="24" t="s">
        <x:v>7</x:v>
      </x:c>
      <x:c r="G4" s="24" t="s">
        <x:v>44</x:v>
      </x:c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>
      <x:c r="A5" s="32">
        <x:v>46198.0</x:v>
      </x:c>
      <x:c r="B5" s="31" t="s">
        <x:v>45</x:v>
      </x:c>
      <x:c r="C5" s="31" t="s">
        <x:v>46</x:v>
      </x:c>
      <x:c r="D5" s="31" t="s">
        <x:v>47</x:v>
      </x:c>
      <x:c r="E5" s="36">
        <x:v>46204.0</x:v>
      </x:c>
      <x:c r="F5" s="26" t="s">
        <x:v>14</x:v>
      </x:c>
      <x:c r="G5" s="31" t="s">
        <x:v>48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</x:row>
    <x:row r="6">
      <x:c r="A6" s="32"/>
      <x:c r="B6" s="26"/>
      <x:c r="C6" s="26"/>
      <x:c r="D6" s="26"/>
      <x:c r="E6" s="32"/>
      <x:c r="F6" s="26"/>
      <x:c r="G6" s="26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</x:row>
    <x:row r="7">
      <x:c r="A7" s="32"/>
      <x:c r="B7" s="26"/>
      <x:c r="C7" s="26"/>
      <x:c r="D7" s="26"/>
      <x:c r="E7" s="32"/>
      <x:c r="F7" s="26"/>
      <x:c r="G7" s="26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</x:row>
    <x:row r="8">
      <x:c r="A8" s="32"/>
      <x:c r="B8" s="26"/>
      <x:c r="C8" s="26"/>
      <x:c r="D8" s="26"/>
      <x:c r="E8" s="32"/>
      <x:c r="F8" s="26"/>
      <x:c r="G8" s="26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</x:row>
    <x:row r="9">
      <x:c r="A9" s="32"/>
      <x:c r="B9" s="26"/>
      <x:c r="C9" s="26"/>
      <x:c r="D9" s="26"/>
      <x:c r="E9" s="32"/>
      <x:c r="F9" s="26"/>
      <x:c r="G9" s="26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</x:row>
    <x:row r="10">
      <x:c r="A10" s="32"/>
      <x:c r="B10" s="26"/>
      <x:c r="C10" s="26"/>
      <x:c r="D10" s="26"/>
      <x:c r="E10" s="32"/>
      <x:c r="F10" s="26"/>
      <x:c r="G10" s="26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</x:row>
    <x:row r="11">
      <x:c r="A11" s="32"/>
      <x:c r="B11" s="26"/>
      <x:c r="C11" s="26"/>
      <x:c r="D11" s="26"/>
      <x:c r="E11" s="32"/>
      <x:c r="F11" s="26"/>
      <x:c r="G11" s="26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</x:row>
    <x:row r="12">
      <x:c r="A12" s="32"/>
      <x:c r="B12" s="26"/>
      <x:c r="C12" s="26"/>
      <x:c r="D12" s="26"/>
      <x:c r="E12" s="32"/>
      <x:c r="F12" s="26"/>
      <x:c r="G12" s="26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</x:row>
    <x:row r="13">
      <x:c r="A13" s="32"/>
      <x:c r="B13" s="26"/>
      <x:c r="C13" s="26"/>
      <x:c r="D13" s="26"/>
      <x:c r="E13" s="32"/>
      <x:c r="F13" s="26"/>
      <x:c r="G13" s="26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</x:row>
    <x:row r="14">
      <x:c r="A14" s="32"/>
      <x:c r="B14" s="26"/>
      <x:c r="C14" s="26"/>
      <x:c r="D14" s="26"/>
      <x:c r="E14" s="32"/>
      <x:c r="F14" s="26"/>
      <x:c r="G14" s="26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</x:row>
    <x:row r="15">
      <x:c r="A15" s="32"/>
      <x:c r="B15" s="26"/>
      <x:c r="C15" s="26"/>
      <x:c r="D15" s="26"/>
      <x:c r="E15" s="32"/>
      <x:c r="F15" s="26"/>
      <x:c r="G15" s="26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</x:row>
    <x:row r="16">
      <x:c r="A16" s="32"/>
      <x:c r="B16" s="26"/>
      <x:c r="C16" s="26"/>
      <x:c r="D16" s="26"/>
      <x:c r="E16" s="32"/>
      <x:c r="F16" s="26"/>
      <x:c r="G16" s="26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</x:row>
    <x:row r="17">
      <x:c r="A17" s="32"/>
      <x:c r="B17" s="26"/>
      <x:c r="C17" s="26"/>
      <x:c r="D17" s="26"/>
      <x:c r="E17" s="32"/>
      <x:c r="F17" s="26"/>
      <x:c r="G17" s="26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</x:row>
    <x:row r="18">
      <x:c r="A18" s="32"/>
      <x:c r="B18" s="26"/>
      <x:c r="C18" s="26"/>
      <x:c r="D18" s="26"/>
      <x:c r="E18" s="32"/>
      <x:c r="F18" s="26"/>
      <x:c r="G18" s="26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</x:row>
    <x:row r="19">
      <x:c r="A19" s="32"/>
      <x:c r="B19" s="26"/>
      <x:c r="C19" s="26"/>
      <x:c r="D19" s="26"/>
      <x:c r="E19" s="32"/>
      <x:c r="F19" s="26"/>
      <x:c r="G19" s="26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</x:row>
    <x:row r="20">
      <x:c r="A20" s="32"/>
      <x:c r="B20" s="26"/>
      <x:c r="C20" s="26"/>
      <x:c r="D20" s="26"/>
      <x:c r="E20" s="32"/>
      <x:c r="F20" s="26"/>
      <x:c r="G20" s="26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</x:row>
    <x:row r="21" ht="15.75" customHeight="1">
      <x:c r="A21" s="32"/>
      <x:c r="B21" s="26"/>
      <x:c r="C21" s="26"/>
      <x:c r="D21" s="26"/>
      <x:c r="E21" s="32"/>
      <x:c r="F21" s="26"/>
      <x:c r="G21" s="26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</x:row>
    <x:row r="22" ht="15.75" customHeight="1">
      <x:c r="A22" s="32"/>
      <x:c r="B22" s="26"/>
      <x:c r="C22" s="26"/>
      <x:c r="D22" s="26"/>
      <x:c r="E22" s="32"/>
      <x:c r="F22" s="26"/>
      <x:c r="G22" s="26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</x:row>
    <x:row r="23" ht="15.75" customHeight="1">
      <x:c r="A23" s="32"/>
      <x:c r="B23" s="26"/>
      <x:c r="C23" s="26"/>
      <x:c r="D23" s="26"/>
      <x:c r="E23" s="32"/>
      <x:c r="F23" s="26"/>
      <x:c r="G23" s="26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</x:row>
    <x:row r="24" ht="15.75" customHeight="1">
      <x:c r="A24" s="32"/>
      <x:c r="B24" s="26"/>
      <x:c r="C24" s="26"/>
      <x:c r="D24" s="26"/>
      <x:c r="E24" s="32"/>
      <x:c r="F24" s="26"/>
      <x:c r="G24" s="26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</x:row>
    <x:row r="25" ht="15.75" customHeight="1">
      <x:c r="A25" s="32"/>
      <x:c r="B25" s="26"/>
      <x:c r="C25" s="26"/>
      <x:c r="D25" s="26"/>
      <x:c r="E25" s="32"/>
      <x:c r="F25" s="26"/>
      <x:c r="G25" s="26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</x:row>
    <x:row r="26" ht="15.75" customHeight="1">
      <x:c r="A26" s="32"/>
      <x:c r="B26" s="26"/>
      <x:c r="C26" s="26"/>
      <x:c r="D26" s="26"/>
      <x:c r="E26" s="32"/>
      <x:c r="F26" s="26"/>
      <x:c r="G26" s="26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</x:row>
    <x:row r="27" ht="15.75" customHeight="1">
      <x:c r="A27" s="32"/>
      <x:c r="B27" s="26"/>
      <x:c r="C27" s="26"/>
      <x:c r="D27" s="26"/>
      <x:c r="E27" s="32"/>
      <x:c r="F27" s="26"/>
      <x:c r="G27" s="26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</x:row>
    <x:row r="28" ht="15.75" customHeight="1">
      <x:c r="A28" s="32"/>
      <x:c r="B28" s="26"/>
      <x:c r="C28" s="26"/>
      <x:c r="D28" s="26"/>
      <x:c r="E28" s="32"/>
      <x:c r="F28" s="26"/>
      <x:c r="G28" s="26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</x:row>
    <x:row r="29" ht="15.75" customHeight="1">
      <x:c r="A29" s="32"/>
      <x:c r="B29" s="26"/>
      <x:c r="C29" s="26"/>
      <x:c r="D29" s="26"/>
      <x:c r="E29" s="32"/>
      <x:c r="F29" s="26"/>
      <x:c r="G29" s="26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</x:row>
    <x:row r="30" ht="15.75" customHeight="1">
      <x:c r="A30" s="32"/>
      <x:c r="B30" s="26"/>
      <x:c r="C30" s="26"/>
      <x:c r="D30" s="26"/>
      <x:c r="E30" s="32"/>
      <x:c r="F30" s="26"/>
      <x:c r="G30" s="26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</x:row>
    <x:row r="31" ht="15.75" customHeight="1">
      <x:c r="A31" s="32"/>
      <x:c r="B31" s="26"/>
      <x:c r="C31" s="26"/>
      <x:c r="D31" s="26"/>
      <x:c r="E31" s="32"/>
      <x:c r="F31" s="26"/>
      <x:c r="G31" s="26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</x:row>
    <x:row r="32" ht="15.75" customHeight="1">
      <x:c r="A32" s="32"/>
      <x:c r="B32" s="26"/>
      <x:c r="C32" s="26"/>
      <x:c r="D32" s="26"/>
      <x:c r="E32" s="32"/>
      <x:c r="F32" s="26"/>
      <x:c r="G32" s="26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</x:row>
    <x:row r="33" ht="15.75" customHeight="1">
      <x:c r="A33" s="32"/>
      <x:c r="B33" s="26"/>
      <x:c r="C33" s="26"/>
      <x:c r="D33" s="26"/>
      <x:c r="E33" s="32"/>
      <x:c r="F33" s="26"/>
      <x:c r="G33" s="26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</x:row>
    <x:row r="34" ht="15.75" customHeight="1">
      <x:c r="A34" s="32"/>
      <x:c r="B34" s="26"/>
      <x:c r="C34" s="26"/>
      <x:c r="D34" s="26"/>
      <x:c r="E34" s="32"/>
      <x:c r="F34" s="26"/>
      <x:c r="G34" s="26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</x:row>
    <x:row r="35" ht="15.75" customHeight="1">
      <x:c r="A35" s="32"/>
      <x:c r="B35" s="26"/>
      <x:c r="C35" s="26"/>
      <x:c r="D35" s="26"/>
      <x:c r="E35" s="32"/>
      <x:c r="F35" s="26"/>
      <x:c r="G35" s="26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</x:row>
    <x:row r="36" ht="15.75" customHeight="1">
      <x:c r="A36" s="32"/>
      <x:c r="B36" s="26"/>
      <x:c r="C36" s="26"/>
      <x:c r="D36" s="26"/>
      <x:c r="E36" s="32"/>
      <x:c r="F36" s="26"/>
      <x:c r="G36" s="26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</x:row>
    <x:row r="37" ht="15.75" customHeight="1">
      <x:c r="A37" s="32"/>
      <x:c r="B37" s="26"/>
      <x:c r="C37" s="26"/>
      <x:c r="D37" s="26"/>
      <x:c r="E37" s="32"/>
      <x:c r="F37" s="26"/>
      <x:c r="G37" s="26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</x:row>
    <x:row r="38" ht="15.75" customHeight="1">
      <x:c r="A38" s="32"/>
      <x:c r="B38" s="26"/>
      <x:c r="C38" s="26"/>
      <x:c r="D38" s="26"/>
      <x:c r="E38" s="32"/>
      <x:c r="F38" s="26"/>
      <x:c r="G38" s="26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</x:row>
    <x:row r="39" ht="15.75" customHeight="1">
      <x:c r="A39" s="32"/>
      <x:c r="B39" s="26"/>
      <x:c r="C39" s="26"/>
      <x:c r="D39" s="26"/>
      <x:c r="E39" s="32"/>
      <x:c r="F39" s="26"/>
      <x:c r="G39" s="26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</x:row>
    <x:row r="40" ht="15.75" customHeight="1">
      <x:c r="A40" s="32"/>
      <x:c r="B40" s="26"/>
      <x:c r="C40" s="26"/>
      <x:c r="D40" s="26"/>
      <x:c r="E40" s="32"/>
      <x:c r="F40" s="26"/>
      <x:c r="G40" s="26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</x:row>
    <x:row r="41" ht="15.75" customHeight="1">
      <x:c r="A41" s="32"/>
      <x:c r="B41" s="26"/>
      <x:c r="C41" s="26"/>
      <x:c r="D41" s="26"/>
      <x:c r="E41" s="32"/>
      <x:c r="F41" s="26"/>
      <x:c r="G41" s="26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</x:row>
    <x:row r="42" ht="15.75" customHeight="1">
      <x:c r="A42" s="32"/>
      <x:c r="B42" s="26"/>
      <x:c r="C42" s="26"/>
      <x:c r="D42" s="26"/>
      <x:c r="E42" s="32"/>
      <x:c r="F42" s="26"/>
      <x:c r="G42" s="26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</x:row>
    <x:row r="43" ht="15.75" customHeight="1">
      <x:c r="A43" s="32"/>
      <x:c r="B43" s="26"/>
      <x:c r="C43" s="26"/>
      <x:c r="D43" s="26"/>
      <x:c r="E43" s="32"/>
      <x:c r="F43" s="26"/>
      <x:c r="G43" s="26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</x:row>
    <x:row r="44" ht="15.75" customHeight="1">
      <x:c r="A44" s="32"/>
      <x:c r="B44" s="26"/>
      <x:c r="C44" s="26"/>
      <x:c r="D44" s="26"/>
      <x:c r="E44" s="32"/>
      <x:c r="F44" s="26"/>
      <x:c r="G44" s="26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</x:row>
    <x:row r="45" ht="15.75" customHeight="1">
      <x:c r="A45" s="32"/>
      <x:c r="B45" s="26"/>
      <x:c r="C45" s="26"/>
      <x:c r="D45" s="26"/>
      <x:c r="E45" s="32"/>
      <x:c r="F45" s="26"/>
      <x:c r="G45" s="26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</x:row>
    <x:row r="46" ht="15.75" customHeight="1">
      <x:c r="A46" s="32"/>
      <x:c r="B46" s="26"/>
      <x:c r="C46" s="26"/>
      <x:c r="D46" s="26"/>
      <x:c r="E46" s="32"/>
      <x:c r="F46" s="26"/>
      <x:c r="G46" s="26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</x:row>
    <x:row r="47" ht="15.75" customHeight="1">
      <x:c r="A47" s="32"/>
      <x:c r="B47" s="26"/>
      <x:c r="C47" s="26"/>
      <x:c r="D47" s="26"/>
      <x:c r="E47" s="32"/>
      <x:c r="F47" s="26"/>
      <x:c r="G47" s="26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</x:row>
    <x:row r="48" ht="15.75" customHeight="1">
      <x:c r="A48" s="32"/>
      <x:c r="B48" s="26"/>
      <x:c r="C48" s="26"/>
      <x:c r="D48" s="26"/>
      <x:c r="E48" s="32"/>
      <x:c r="F48" s="26"/>
      <x:c r="G48" s="26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</x:row>
    <x:row r="49" ht="15.75" customHeight="1">
      <x:c r="A49" s="32"/>
      <x:c r="B49" s="26"/>
      <x:c r="C49" s="26"/>
      <x:c r="D49" s="26"/>
      <x:c r="E49" s="32"/>
      <x:c r="F49" s="26"/>
      <x:c r="G49" s="26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</x:row>
    <x:row r="50" ht="15.75" customHeight="1">
      <x:c r="A50" s="32"/>
      <x:c r="B50" s="26"/>
      <x:c r="C50" s="26"/>
      <x:c r="D50" s="26"/>
      <x:c r="E50" s="32"/>
      <x:c r="F50" s="26"/>
      <x:c r="G50" s="26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</x:row>
    <x:row r="51" ht="15.75" customHeight="1">
      <x:c r="A51" s="32"/>
      <x:c r="B51" s="26"/>
      <x:c r="C51" s="26"/>
      <x:c r="D51" s="26"/>
      <x:c r="E51" s="32"/>
      <x:c r="F51" s="26"/>
      <x:c r="G51" s="26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</x:row>
    <x:row r="52" ht="15.75" customHeight="1">
      <x:c r="A52" s="32"/>
      <x:c r="B52" s="26"/>
      <x:c r="C52" s="26"/>
      <x:c r="D52" s="26"/>
      <x:c r="E52" s="32"/>
      <x:c r="F52" s="26"/>
      <x:c r="G52" s="26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</x:row>
    <x:row r="53" ht="15.75" customHeight="1">
      <x:c r="A53" s="32"/>
      <x:c r="B53" s="26"/>
      <x:c r="C53" s="26"/>
      <x:c r="D53" s="26"/>
      <x:c r="E53" s="32"/>
      <x:c r="F53" s="26"/>
      <x:c r="G53" s="26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</x:row>
    <x:row r="54" ht="15.75" customHeight="1">
      <x:c r="A54" s="32"/>
      <x:c r="B54" s="26"/>
      <x:c r="C54" s="26"/>
      <x:c r="D54" s="26"/>
      <x:c r="E54" s="32"/>
      <x:c r="F54" s="26"/>
      <x:c r="G54" s="26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</x:row>
    <x:row r="55" ht="15.75" customHeight="1">
      <x:c r="A55" s="32"/>
      <x:c r="B55" s="26"/>
      <x:c r="C55" s="26"/>
      <x:c r="D55" s="26"/>
      <x:c r="E55" s="32"/>
      <x:c r="F55" s="26"/>
      <x:c r="G55" s="26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</x:row>
    <x:row r="56" ht="15.75" customHeight="1">
      <x:c r="A56" s="32"/>
      <x:c r="B56" s="26"/>
      <x:c r="C56" s="26"/>
      <x:c r="D56" s="26"/>
      <x:c r="E56" s="32"/>
      <x:c r="F56" s="26"/>
      <x:c r="G56" s="26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</x:row>
    <x:row r="57" ht="15.75" customHeight="1">
      <x:c r="A57" s="32"/>
      <x:c r="B57" s="26"/>
      <x:c r="C57" s="26"/>
      <x:c r="D57" s="26"/>
      <x:c r="E57" s="32"/>
      <x:c r="F57" s="26"/>
      <x:c r="G57" s="26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</x:row>
    <x:row r="58" ht="15.75" customHeight="1">
      <x:c r="A58" s="32"/>
      <x:c r="B58" s="26"/>
      <x:c r="C58" s="26"/>
      <x:c r="D58" s="26"/>
      <x:c r="E58" s="32"/>
      <x:c r="F58" s="26"/>
      <x:c r="G58" s="26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</x:row>
    <x:row r="59" ht="15.75" customHeight="1">
      <x:c r="A59" s="32"/>
      <x:c r="B59" s="26"/>
      <x:c r="C59" s="26"/>
      <x:c r="D59" s="26"/>
      <x:c r="E59" s="32"/>
      <x:c r="F59" s="26"/>
      <x:c r="G59" s="26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</x:row>
    <x:row r="60" ht="15.75" customHeight="1">
      <x:c r="A60" s="32"/>
      <x:c r="B60" s="26"/>
      <x:c r="C60" s="26"/>
      <x:c r="D60" s="26"/>
      <x:c r="E60" s="32"/>
      <x:c r="F60" s="26"/>
      <x:c r="G60" s="26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</x:row>
    <x:row r="61" ht="15.75" customHeight="1">
      <x:c r="A61" s="32"/>
      <x:c r="B61" s="26"/>
      <x:c r="C61" s="26"/>
      <x:c r="D61" s="26"/>
      <x:c r="E61" s="32"/>
      <x:c r="F61" s="26"/>
      <x:c r="G61" s="26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</x:row>
    <x:row r="62" ht="15.75" customHeight="1">
      <x:c r="A62" s="32"/>
      <x:c r="B62" s="26"/>
      <x:c r="C62" s="26"/>
      <x:c r="D62" s="26"/>
      <x:c r="E62" s="32"/>
      <x:c r="F62" s="26"/>
      <x:c r="G62" s="26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</x:row>
    <x:row r="63" ht="15.75" customHeight="1">
      <x:c r="A63" s="32"/>
      <x:c r="B63" s="26"/>
      <x:c r="C63" s="26"/>
      <x:c r="D63" s="26"/>
      <x:c r="E63" s="32"/>
      <x:c r="F63" s="26"/>
      <x:c r="G63" s="26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</x:row>
    <x:row r="64" ht="15.75" customHeight="1">
      <x:c r="A64" s="32"/>
      <x:c r="B64" s="26"/>
      <x:c r="C64" s="26"/>
      <x:c r="D64" s="26"/>
      <x:c r="E64" s="32"/>
      <x:c r="F64" s="26"/>
      <x:c r="G64" s="26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</x:row>
    <x:row r="65" ht="15.75" customHeight="1">
      <x:c r="A65" s="32"/>
      <x:c r="B65" s="26"/>
      <x:c r="C65" s="26"/>
      <x:c r="D65" s="26"/>
      <x:c r="E65" s="32"/>
      <x:c r="F65" s="26"/>
      <x:c r="G65" s="26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</x:row>
    <x:row r="66" ht="15.75" customHeight="1">
      <x:c r="A66" s="32"/>
      <x:c r="B66" s="26"/>
      <x:c r="C66" s="26"/>
      <x:c r="D66" s="26"/>
      <x:c r="E66" s="32"/>
      <x:c r="F66" s="26"/>
      <x:c r="G66" s="26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</x:row>
    <x:row r="67" ht="15.75" customHeight="1">
      <x:c r="A67" s="32"/>
      <x:c r="B67" s="26"/>
      <x:c r="C67" s="26"/>
      <x:c r="D67" s="26"/>
      <x:c r="E67" s="32"/>
      <x:c r="F67" s="26"/>
      <x:c r="G67" s="26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</x:row>
    <x:row r="68" ht="15.75" customHeight="1">
      <x:c r="A68" s="32"/>
      <x:c r="B68" s="26"/>
      <x:c r="C68" s="26"/>
      <x:c r="D68" s="26"/>
      <x:c r="E68" s="32"/>
      <x:c r="F68" s="26"/>
      <x:c r="G68" s="26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</x:row>
    <x:row r="69" ht="15.75" customHeight="1">
      <x:c r="A69" s="32"/>
      <x:c r="B69" s="26"/>
      <x:c r="C69" s="26"/>
      <x:c r="D69" s="26"/>
      <x:c r="E69" s="32"/>
      <x:c r="F69" s="26"/>
      <x:c r="G69" s="26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</x:row>
    <x:row r="70" ht="15.75" customHeight="1">
      <x:c r="A70" s="32"/>
      <x:c r="B70" s="26"/>
      <x:c r="C70" s="26"/>
      <x:c r="D70" s="26"/>
      <x:c r="E70" s="32"/>
      <x:c r="F70" s="26"/>
      <x:c r="G70" s="26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</x:row>
    <x:row r="71" ht="15.75" customHeight="1">
      <x:c r="A71" s="32"/>
      <x:c r="B71" s="26"/>
      <x:c r="C71" s="26"/>
      <x:c r="D71" s="26"/>
      <x:c r="E71" s="32"/>
      <x:c r="F71" s="26"/>
      <x:c r="G71" s="26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</x:row>
    <x:row r="72" ht="15.75" customHeight="1">
      <x:c r="A72" s="32"/>
      <x:c r="B72" s="26"/>
      <x:c r="C72" s="26"/>
      <x:c r="D72" s="26"/>
      <x:c r="E72" s="32"/>
      <x:c r="F72" s="26"/>
      <x:c r="G72" s="26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</x:row>
    <x:row r="73" ht="15.75" customHeight="1">
      <x:c r="A73" s="32"/>
      <x:c r="B73" s="26"/>
      <x:c r="C73" s="26"/>
      <x:c r="D73" s="26"/>
      <x:c r="E73" s="32"/>
      <x:c r="F73" s="26"/>
      <x:c r="G73" s="26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</x:row>
    <x:row r="74" ht="15.75" customHeight="1">
      <x:c r="A74" s="32"/>
      <x:c r="B74" s="26"/>
      <x:c r="C74" s="26"/>
      <x:c r="D74" s="26"/>
      <x:c r="E74" s="32"/>
      <x:c r="F74" s="26"/>
      <x:c r="G74" s="26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</x:row>
    <x:row r="75" ht="15.75" customHeight="1">
      <x:c r="A75" s="32"/>
      <x:c r="B75" s="26"/>
      <x:c r="C75" s="26"/>
      <x:c r="D75" s="26"/>
      <x:c r="E75" s="32"/>
      <x:c r="F75" s="26"/>
      <x:c r="G75" s="26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</x:row>
    <x:row r="76" ht="15.75" customHeight="1">
      <x:c r="A76" s="32"/>
      <x:c r="B76" s="26"/>
      <x:c r="C76" s="26"/>
      <x:c r="D76" s="26"/>
      <x:c r="E76" s="32"/>
      <x:c r="F76" s="26"/>
      <x:c r="G76" s="26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</x:row>
    <x:row r="77" ht="15.75" customHeight="1">
      <x:c r="A77" s="32"/>
      <x:c r="B77" s="26"/>
      <x:c r="C77" s="26"/>
      <x:c r="D77" s="26"/>
      <x:c r="E77" s="32"/>
      <x:c r="F77" s="26"/>
      <x:c r="G77" s="26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</x:row>
    <x:row r="78" ht="15.75" customHeight="1">
      <x:c r="A78" s="32"/>
      <x:c r="B78" s="26"/>
      <x:c r="C78" s="26"/>
      <x:c r="D78" s="26"/>
      <x:c r="E78" s="32"/>
      <x:c r="F78" s="26"/>
      <x:c r="G78" s="26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</x:row>
    <x:row r="79" ht="15.75" customHeight="1">
      <x:c r="A79" s="32"/>
      <x:c r="B79" s="26"/>
      <x:c r="C79" s="26"/>
      <x:c r="D79" s="26"/>
      <x:c r="E79" s="32"/>
      <x:c r="F79" s="26"/>
      <x:c r="G79" s="26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</x:row>
    <x:row r="80" ht="15.75" customHeight="1">
      <x:c r="A80" s="32"/>
      <x:c r="B80" s="26"/>
      <x:c r="C80" s="26"/>
      <x:c r="D80" s="26"/>
      <x:c r="E80" s="32"/>
      <x:c r="F80" s="26"/>
      <x:c r="G80" s="26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</x:row>
    <x:row r="81" ht="15.75" customHeight="1">
      <x:c r="A81" s="32"/>
      <x:c r="B81" s="26"/>
      <x:c r="C81" s="26"/>
      <x:c r="D81" s="26"/>
      <x:c r="E81" s="32"/>
      <x:c r="F81" s="26"/>
      <x:c r="G81" s="26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</x:row>
    <x:row r="82" ht="15.75" customHeight="1">
      <x:c r="A82" s="32"/>
      <x:c r="B82" s="26"/>
      <x:c r="C82" s="26"/>
      <x:c r="D82" s="26"/>
      <x:c r="E82" s="32"/>
      <x:c r="F82" s="26"/>
      <x:c r="G82" s="26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</x:row>
    <x:row r="83" ht="15.75" customHeight="1">
      <x:c r="A83" s="32"/>
      <x:c r="B83" s="26"/>
      <x:c r="C83" s="26"/>
      <x:c r="D83" s="26"/>
      <x:c r="E83" s="32"/>
      <x:c r="F83" s="26"/>
      <x:c r="G83" s="26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</x:row>
    <x:row r="84" ht="15.75" customHeight="1">
      <x:c r="A84" s="32"/>
      <x:c r="B84" s="26"/>
      <x:c r="C84" s="26"/>
      <x:c r="D84" s="26"/>
      <x:c r="E84" s="32"/>
      <x:c r="F84" s="26"/>
      <x:c r="G84" s="26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</x:row>
    <x:row r="85" ht="15.75" customHeight="1">
      <x:c r="A85" s="32"/>
      <x:c r="B85" s="26"/>
      <x:c r="C85" s="26"/>
      <x:c r="D85" s="26"/>
      <x:c r="E85" s="32"/>
      <x:c r="F85" s="26"/>
      <x:c r="G85" s="26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</x:row>
    <x:row r="86" ht="15.75" customHeight="1">
      <x:c r="A86" s="32"/>
      <x:c r="B86" s="26"/>
      <x:c r="C86" s="26"/>
      <x:c r="D86" s="26"/>
      <x:c r="E86" s="32"/>
      <x:c r="F86" s="26"/>
      <x:c r="G86" s="26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</x:row>
    <x:row r="87" ht="15.75" customHeight="1">
      <x:c r="A87" s="32"/>
      <x:c r="B87" s="26"/>
      <x:c r="C87" s="26"/>
      <x:c r="D87" s="26"/>
      <x:c r="E87" s="32"/>
      <x:c r="F87" s="26"/>
      <x:c r="G87" s="26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</x:row>
    <x:row r="88" ht="15.75" customHeight="1">
      <x:c r="A88" s="32"/>
      <x:c r="B88" s="26"/>
      <x:c r="C88" s="26"/>
      <x:c r="D88" s="26"/>
      <x:c r="E88" s="32"/>
      <x:c r="F88" s="26"/>
      <x:c r="G88" s="26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</x:row>
    <x:row r="89" ht="15.75" customHeight="1">
      <x:c r="A89" s="32"/>
      <x:c r="B89" s="26"/>
      <x:c r="C89" s="26"/>
      <x:c r="D89" s="26"/>
      <x:c r="E89" s="32"/>
      <x:c r="F89" s="26"/>
      <x:c r="G89" s="26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</x:row>
    <x:row r="90" ht="15.75" customHeight="1">
      <x:c r="A90" s="32"/>
      <x:c r="B90" s="26"/>
      <x:c r="C90" s="26"/>
      <x:c r="D90" s="26"/>
      <x:c r="E90" s="32"/>
      <x:c r="F90" s="26"/>
      <x:c r="G90" s="26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</x:row>
    <x:row r="91" ht="15.75" customHeight="1">
      <x:c r="A91" s="32"/>
      <x:c r="B91" s="26"/>
      <x:c r="C91" s="26"/>
      <x:c r="D91" s="26"/>
      <x:c r="E91" s="32"/>
      <x:c r="F91" s="26"/>
      <x:c r="G91" s="26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</x:row>
    <x:row r="92" ht="15.75" customHeight="1">
      <x:c r="A92" s="32"/>
      <x:c r="B92" s="26"/>
      <x:c r="C92" s="26"/>
      <x:c r="D92" s="26"/>
      <x:c r="E92" s="32"/>
      <x:c r="F92" s="26"/>
      <x:c r="G92" s="26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</x:row>
    <x:row r="93" ht="15.75" customHeight="1">
      <x:c r="A93" s="32"/>
      <x:c r="B93" s="26"/>
      <x:c r="C93" s="26"/>
      <x:c r="D93" s="26"/>
      <x:c r="E93" s="32"/>
      <x:c r="F93" s="26"/>
      <x:c r="G93" s="26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</x:row>
    <x:row r="94" ht="15.75" customHeight="1">
      <x:c r="A94" s="32"/>
      <x:c r="B94" s="26"/>
      <x:c r="C94" s="26"/>
      <x:c r="D94" s="26"/>
      <x:c r="E94" s="32"/>
      <x:c r="F94" s="26"/>
      <x:c r="G94" s="26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</x:row>
    <x:row r="95" ht="15.75" customHeight="1">
      <x:c r="A95" s="32"/>
      <x:c r="B95" s="26"/>
      <x:c r="C95" s="26"/>
      <x:c r="D95" s="26"/>
      <x:c r="E95" s="32"/>
      <x:c r="F95" s="26"/>
      <x:c r="G95" s="26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</x:row>
    <x:row r="96" ht="15.75" customHeight="1">
      <x:c r="A96" s="32"/>
      <x:c r="B96" s="26"/>
      <x:c r="C96" s="26"/>
      <x:c r="D96" s="26"/>
      <x:c r="E96" s="32"/>
      <x:c r="F96" s="26"/>
      <x:c r="G96" s="26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</x:row>
    <x:row r="97" ht="15.75" customHeight="1">
      <x:c r="A97" s="32"/>
      <x:c r="B97" s="26"/>
      <x:c r="C97" s="26"/>
      <x:c r="D97" s="26"/>
      <x:c r="E97" s="32"/>
      <x:c r="F97" s="26"/>
      <x:c r="G97" s="26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</x:row>
    <x:row r="98" ht="15.75" customHeight="1">
      <x:c r="A98" s="32"/>
      <x:c r="B98" s="26"/>
      <x:c r="C98" s="26"/>
      <x:c r="D98" s="26"/>
      <x:c r="E98" s="32"/>
      <x:c r="F98" s="26"/>
      <x:c r="G98" s="26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</x:row>
    <x:row r="99" ht="15.75" customHeight="1">
      <x:c r="A99" s="32"/>
      <x:c r="B99" s="26"/>
      <x:c r="C99" s="26"/>
      <x:c r="D99" s="26"/>
      <x:c r="E99" s="32"/>
      <x:c r="F99" s="26"/>
      <x:c r="G99" s="26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</x:row>
    <x:row r="100" ht="15.75" customHeight="1">
      <x:c r="A100" s="32"/>
      <x:c r="B100" s="26"/>
      <x:c r="C100" s="26"/>
      <x:c r="D100" s="26"/>
      <x:c r="E100" s="32"/>
      <x:c r="F100" s="26"/>
      <x:c r="G100" s="26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</x:row>
    <x:row r="101" ht="15.75" customHeight="1">
      <x:c r="A101" s="32"/>
      <x:c r="B101" s="26"/>
      <x:c r="C101" s="26"/>
      <x:c r="D101" s="26"/>
      <x:c r="E101" s="32"/>
      <x:c r="F101" s="26"/>
      <x:c r="G101" s="26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</x:row>
    <x:row r="102" ht="15.75" customHeight="1">
      <x:c r="A102" s="32"/>
      <x:c r="B102" s="26"/>
      <x:c r="C102" s="26"/>
      <x:c r="D102" s="26"/>
      <x:c r="E102" s="32"/>
      <x:c r="F102" s="26"/>
      <x:c r="G102" s="26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</x:row>
    <x:row r="103" ht="15.75" customHeight="1">
      <x:c r="A103" s="32"/>
      <x:c r="B103" s="26"/>
      <x:c r="C103" s="26"/>
      <x:c r="D103" s="26"/>
      <x:c r="E103" s="32"/>
      <x:c r="F103" s="26"/>
      <x:c r="G103" s="26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</x:row>
    <x:row r="104" ht="15.75" customHeight="1">
      <x:c r="A104" s="32"/>
      <x:c r="B104" s="26"/>
      <x:c r="C104" s="26"/>
      <x:c r="D104" s="26"/>
      <x:c r="E104" s="32"/>
      <x:c r="F104" s="26"/>
      <x:c r="G104" s="26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</x:row>
    <x:row r="105" ht="15.75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</x:row>
    <x:row r="106" ht="15.75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</x:row>
    <x:row r="107" ht="15.75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</x:row>
    <x:row r="108" ht="15.7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</x:row>
    <x:row r="109" ht="15.7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</x:row>
    <x:row r="110" ht="15.75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</x:row>
    <x:row r="111" ht="15.75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</x:row>
    <x:row r="112" ht="15.75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</x:row>
    <x:row r="113" ht="15.75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</x:row>
    <x:row r="114" ht="15.7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</x:row>
    <x:row r="115" ht="15.7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</x:row>
    <x:row r="116" ht="15.75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</x:row>
    <x:row r="117" ht="15.75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</x:row>
    <x:row r="118" ht="15.75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</x:row>
    <x:row r="119" ht="15.75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</x:row>
    <x:row r="120" ht="15.75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</x:row>
    <x:row r="121" ht="15.75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</x:row>
    <x:row r="122" ht="15.75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</x:row>
    <x:row r="123" ht="15.75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</x:row>
    <x:row r="124" ht="15.75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</x:row>
    <x:row r="125" ht="15.75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</x:row>
    <x:row r="126" ht="15.75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</x:row>
    <x:row r="127" ht="15.75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</x:row>
    <x:row r="128" ht="15.75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</x:row>
    <x:row r="129" ht="15.75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</x:row>
    <x:row r="130" ht="15.75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</x:row>
    <x:row r="131" ht="15.75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</x:row>
    <x:row r="132" ht="15.75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</x:row>
    <x:row r="133" ht="15.75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</x:row>
    <x:row r="134" ht="15.75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</x:row>
    <x:row r="135" ht="15.75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</x:row>
    <x:row r="136" ht="15.75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</x:row>
    <x:row r="137" ht="15.75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</x:row>
    <x:row r="138" ht="15.75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</x:row>
    <x:row r="139" ht="15.75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</x:row>
    <x:row r="140" ht="15.75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</x:row>
    <x:row r="141" ht="15.75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</x:row>
    <x:row r="142" ht="15.75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</x:row>
    <x:row r="143" ht="15.75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</x:row>
    <x:row r="144" ht="15.75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</x:row>
    <x:row r="145" ht="15.75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</x:row>
    <x:row r="146" ht="15.75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</x:row>
    <x:row r="147" ht="15.75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</x:row>
    <x:row r="148" ht="15.75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</x:row>
    <x:row r="149" ht="15.75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</x:row>
    <x:row r="150" ht="15.75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</x:row>
    <x:row r="151" ht="15.75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</x:row>
    <x:row r="152" ht="15.75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</x:row>
    <x:row r="153" ht="15.75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</x:row>
    <x:row r="154" ht="15.75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</x:row>
    <x:row r="155" ht="15.75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</x:row>
    <x:row r="156" ht="15.75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</x:row>
    <x:row r="157" ht="15.75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</x:row>
    <x:row r="158" ht="15.75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</x:row>
    <x:row r="159" ht="15.75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</x:row>
    <x:row r="160" ht="15.75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</x:row>
    <x:row r="161" ht="15.75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</x:row>
    <x:row r="162" ht="15.75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</x:row>
    <x:row r="163" ht="15.75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</x:row>
    <x:row r="164" ht="15.75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</x:row>
    <x:row r="165" ht="15.75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</x:row>
    <x:row r="166" ht="15.75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</x:row>
    <x:row r="167" ht="15.75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</x:row>
    <x:row r="168" ht="15.75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</x:row>
    <x:row r="169" ht="15.75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</x:row>
    <x:row r="170" ht="15.75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</x:row>
    <x:row r="171" ht="15.75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</x:row>
    <x:row r="172" ht="15.75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</x:row>
    <x:row r="173" ht="15.75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</x:row>
    <x:row r="174" ht="15.75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</x:row>
    <x:row r="175" ht="15.75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</x:row>
    <x:row r="176" ht="15.75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</x:row>
    <x:row r="177" ht="15.75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</x:row>
    <x:row r="178" ht="15.75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</x:row>
    <x:row r="179" ht="15.75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</x:row>
    <x:row r="180" ht="15.75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</x:row>
    <x:row r="181" ht="15.75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</x:row>
    <x:row r="182" ht="15.75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</x:row>
    <x:row r="183" ht="15.75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</x:row>
    <x:row r="184" ht="15.75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</x:row>
    <x:row r="185" ht="15.75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</x:row>
    <x:row r="186" ht="15.75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</x:row>
    <x:row r="187" ht="15.75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</x:row>
    <x:row r="188" ht="15.75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</x:row>
    <x:row r="189" ht="15.75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</x:row>
    <x:row r="190" ht="15.75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</x:row>
    <x:row r="191" ht="15.75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</x:row>
    <x:row r="192" ht="15.75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</x:row>
    <x:row r="193" ht="15.75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</x:row>
    <x:row r="194" ht="15.75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</x:row>
    <x:row r="195" ht="15.75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</x:row>
    <x:row r="196" ht="15.75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</x:row>
    <x:row r="197" ht="15.75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</x:row>
    <x:row r="198" ht="15.75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</x:row>
    <x:row r="199" ht="15.75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</x:row>
    <x:row r="200" ht="15.75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</x:row>
    <x:row r="201" ht="15.75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</x:row>
    <x:row r="202" ht="15.75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</x:row>
    <x:row r="203" ht="15.75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</x:row>
    <x:row r="204" ht="15.75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</x:row>
    <x:row r="205" ht="15.75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</x:row>
    <x:row r="206" ht="15.75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</x:row>
    <x:row r="207" ht="15.75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</x:row>
    <x:row r="208" ht="15.75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</x:row>
    <x:row r="209" ht="15.75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</x:row>
    <x:row r="210" ht="15.75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</x:row>
    <x:row r="211" ht="15.75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</x:row>
    <x:row r="212" ht="15.75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</x:row>
    <x:row r="213" ht="15.75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</x:row>
    <x:row r="214" ht="15.75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</x:row>
    <x:row r="215" ht="15.75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</x:row>
    <x:row r="216" ht="15.75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</x:row>
    <x:row r="217" ht="15.75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</x:row>
    <x:row r="218" ht="15.75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</x:row>
    <x:row r="219" ht="15.75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</x:row>
    <x:row r="220" ht="15.75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</x:row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2:G2"/>
  </x:mergeCells>
  <x:conditionalFormatting sqref="F5:F104">
    <x:cfRule type="expression" dxfId="5" priority="1">
      <x:formula>F5="Complete"</x:formula>
    </x:cfRule>
  </x:conditionalFormatting>
  <x:conditionalFormatting sqref="F5:F104">
    <x:cfRule type="expression" dxfId="7" priority="2">
      <x:formula>F5="In progress"</x:formula>
    </x:cfRule>
  </x:conditionalFormatting>
  <x:conditionalFormatting sqref="E5:E104">
    <x:cfRule type="expression" dxfId="0" priority="3">
      <x:formula>AND(E5&lt;TODAY(),F5&lt;&gt;"Complete",D5&lt;&gt;"")</x:formula>
    </x:cfRule>
  </x:conditionalFormatting>
  <x:dataValidations count="1">
    <x:dataValidation type="list" allowBlank="1" sqref="F5:F104">
      <x:formula1>"Not started,In progress,Waiting for supervisor review,Blocked,Complete,Deferred"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fe7ce3bf814a44"/>
  </x:tableParts>
</x:worksheet>
</file>